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IYA\OneDrive\Desktop\"/>
    </mc:Choice>
  </mc:AlternateContent>
  <xr:revisionPtr revIDLastSave="0" documentId="8_{307A75FC-C1C9-4AF2-BF39-4259C4BB11AC}" xr6:coauthVersionLast="47" xr6:coauthVersionMax="47" xr10:uidLastSave="{00000000-0000-0000-0000-000000000000}"/>
  <bookViews>
    <workbookView xWindow="-108" yWindow="-108" windowWidth="23256" windowHeight="12456" firstSheet="4" activeTab="8" xr2:uid="{00000000-000D-0000-FFFF-FFFF00000000}"/>
  </bookViews>
  <sheets>
    <sheet name="Sales_Data" sheetId="1" r:id="rId1"/>
    <sheet name="Revenue By region" sheetId="2" r:id="rId2"/>
    <sheet name="Detail1" sheetId="15" state="hidden" r:id="rId3"/>
    <sheet name="Profit By Product" sheetId="3" r:id="rId4"/>
    <sheet name="Order Count by region" sheetId="7" r:id="rId5"/>
    <sheet name="Product Sales" sheetId="11" r:id="rId6"/>
    <sheet name="Loss Making Products" sheetId="12" r:id="rId7"/>
    <sheet name="DASHBOARD" sheetId="14" r:id="rId8"/>
    <sheet name="Key Insights" sheetId="17" r:id="rId9"/>
  </sheets>
  <definedNames>
    <definedName name="Slicer_Product_Category">#N/A</definedName>
    <definedName name="Slicer_Product_Category1">#N/A</definedName>
    <definedName name="Slicer_Product_Name">#N/A</definedName>
    <definedName name="Slicer_Region">#N/A</definedName>
  </definedNames>
  <calcPr calcId="191029"/>
  <pivotCaches>
    <pivotCache cacheId="0"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51" i="1" l="1"/>
  <c r="L351" i="1"/>
  <c r="K351" i="1"/>
  <c r="J351" i="1"/>
  <c r="M350" i="1"/>
  <c r="L350" i="1"/>
  <c r="K350" i="1"/>
  <c r="J350" i="1"/>
  <c r="M349" i="1"/>
  <c r="L349" i="1"/>
  <c r="K349" i="1"/>
  <c r="J349" i="1"/>
  <c r="M348" i="1"/>
  <c r="L348" i="1"/>
  <c r="K348" i="1"/>
  <c r="J348" i="1"/>
  <c r="M347" i="1"/>
  <c r="L347" i="1"/>
  <c r="K347" i="1"/>
  <c r="J347" i="1"/>
  <c r="M346" i="1"/>
  <c r="L346" i="1"/>
  <c r="K346" i="1"/>
  <c r="J346" i="1"/>
  <c r="M345" i="1"/>
  <c r="L345" i="1"/>
  <c r="K345" i="1"/>
  <c r="J345" i="1"/>
  <c r="M344" i="1"/>
  <c r="L344" i="1"/>
  <c r="K344" i="1"/>
  <c r="J344" i="1"/>
  <c r="M343" i="1"/>
  <c r="L343" i="1"/>
  <c r="K343" i="1"/>
  <c r="J343" i="1"/>
  <c r="M342" i="1"/>
  <c r="L342" i="1"/>
  <c r="K342" i="1"/>
  <c r="J342" i="1"/>
  <c r="M341" i="1"/>
  <c r="L341" i="1"/>
  <c r="K341" i="1"/>
  <c r="J341" i="1"/>
  <c r="M340" i="1"/>
  <c r="L340" i="1"/>
  <c r="K340" i="1"/>
  <c r="J340" i="1"/>
  <c r="M339" i="1"/>
  <c r="L339" i="1"/>
  <c r="K339" i="1"/>
  <c r="J339" i="1"/>
  <c r="M338" i="1"/>
  <c r="L338" i="1"/>
  <c r="K338" i="1"/>
  <c r="J338" i="1"/>
  <c r="M337" i="1"/>
  <c r="L337" i="1"/>
  <c r="K337" i="1"/>
  <c r="J337" i="1"/>
  <c r="M336" i="1"/>
  <c r="L336" i="1"/>
  <c r="K336" i="1"/>
  <c r="J336" i="1"/>
  <c r="M335" i="1"/>
  <c r="L335" i="1"/>
  <c r="K335" i="1"/>
  <c r="J335" i="1"/>
  <c r="M334" i="1"/>
  <c r="L334" i="1"/>
  <c r="K334" i="1"/>
  <c r="J334" i="1"/>
  <c r="M333" i="1"/>
  <c r="L333" i="1"/>
  <c r="K333" i="1"/>
  <c r="J333" i="1"/>
  <c r="M332" i="1"/>
  <c r="L332" i="1"/>
  <c r="K332" i="1"/>
  <c r="J332" i="1"/>
  <c r="M331" i="1"/>
  <c r="L331" i="1"/>
  <c r="K331" i="1"/>
  <c r="J331" i="1"/>
  <c r="M330" i="1"/>
  <c r="L330" i="1"/>
  <c r="K330" i="1"/>
  <c r="J330" i="1"/>
  <c r="M329" i="1"/>
  <c r="L329" i="1"/>
  <c r="K329" i="1"/>
  <c r="J329" i="1"/>
  <c r="M328" i="1"/>
  <c r="L328" i="1"/>
  <c r="K328" i="1"/>
  <c r="J328" i="1"/>
  <c r="M327" i="1"/>
  <c r="L327" i="1"/>
  <c r="K327" i="1"/>
  <c r="J327" i="1"/>
  <c r="M326" i="1"/>
  <c r="L326" i="1"/>
  <c r="K326" i="1"/>
  <c r="J326" i="1"/>
  <c r="M325" i="1"/>
  <c r="L325" i="1"/>
  <c r="K325" i="1"/>
  <c r="J325" i="1"/>
  <c r="M324" i="1"/>
  <c r="L324" i="1"/>
  <c r="K324" i="1"/>
  <c r="J324" i="1"/>
  <c r="M323" i="1"/>
  <c r="L323" i="1"/>
  <c r="K323" i="1"/>
  <c r="J323" i="1"/>
  <c r="M322" i="1"/>
  <c r="L322" i="1"/>
  <c r="K322" i="1"/>
  <c r="J322" i="1"/>
  <c r="M321" i="1"/>
  <c r="L321" i="1"/>
  <c r="K321" i="1"/>
  <c r="J321" i="1"/>
  <c r="M320" i="1"/>
  <c r="L320" i="1"/>
  <c r="K320" i="1"/>
  <c r="J320" i="1"/>
  <c r="M319" i="1"/>
  <c r="L319" i="1"/>
  <c r="K319" i="1"/>
  <c r="J319" i="1"/>
  <c r="M318" i="1"/>
  <c r="L318" i="1"/>
  <c r="K318" i="1"/>
  <c r="J318" i="1"/>
  <c r="M317" i="1"/>
  <c r="L317" i="1"/>
  <c r="K317" i="1"/>
  <c r="J317" i="1"/>
  <c r="M316" i="1"/>
  <c r="L316" i="1"/>
  <c r="K316" i="1"/>
  <c r="J316" i="1"/>
  <c r="M315" i="1"/>
  <c r="L315" i="1"/>
  <c r="K315" i="1"/>
  <c r="J315" i="1"/>
  <c r="M314" i="1"/>
  <c r="L314" i="1"/>
  <c r="K314" i="1"/>
  <c r="J314" i="1"/>
  <c r="M313" i="1"/>
  <c r="L313" i="1"/>
  <c r="K313" i="1"/>
  <c r="J313" i="1"/>
  <c r="M312" i="1"/>
  <c r="L312" i="1"/>
  <c r="K312" i="1"/>
  <c r="J312" i="1"/>
  <c r="M311" i="1"/>
  <c r="L311" i="1"/>
  <c r="K311" i="1"/>
  <c r="J311" i="1"/>
  <c r="M310" i="1"/>
  <c r="L310" i="1"/>
  <c r="K310" i="1"/>
  <c r="J310" i="1"/>
  <c r="M309" i="1"/>
  <c r="L309" i="1"/>
  <c r="K309" i="1"/>
  <c r="J309" i="1"/>
  <c r="M308" i="1"/>
  <c r="L308" i="1"/>
  <c r="K308" i="1"/>
  <c r="J308" i="1"/>
  <c r="M307" i="1"/>
  <c r="L307" i="1"/>
  <c r="K307" i="1"/>
  <c r="J307" i="1"/>
  <c r="M306" i="1"/>
  <c r="L306" i="1"/>
  <c r="K306" i="1"/>
  <c r="J306" i="1"/>
  <c r="M305" i="1"/>
  <c r="L305" i="1"/>
  <c r="K305" i="1"/>
  <c r="J305" i="1"/>
  <c r="M304" i="1"/>
  <c r="L304" i="1"/>
  <c r="K304" i="1"/>
  <c r="J304" i="1"/>
  <c r="M303" i="1"/>
  <c r="L303" i="1"/>
  <c r="K303" i="1"/>
  <c r="J303" i="1"/>
  <c r="M302" i="1"/>
  <c r="L302" i="1"/>
  <c r="K302" i="1"/>
  <c r="J302" i="1"/>
  <c r="M301" i="1"/>
  <c r="L301" i="1"/>
  <c r="K301" i="1"/>
  <c r="J301" i="1"/>
  <c r="M300" i="1"/>
  <c r="L300" i="1"/>
  <c r="K300" i="1"/>
  <c r="J300" i="1"/>
  <c r="M299" i="1"/>
  <c r="L299" i="1"/>
  <c r="K299" i="1"/>
  <c r="J299" i="1"/>
  <c r="M298" i="1"/>
  <c r="L298" i="1"/>
  <c r="K298" i="1"/>
  <c r="J298" i="1"/>
  <c r="M297" i="1"/>
  <c r="L297" i="1"/>
  <c r="K297" i="1"/>
  <c r="J297" i="1"/>
  <c r="M296" i="1"/>
  <c r="L296" i="1"/>
  <c r="K296" i="1"/>
  <c r="J296" i="1"/>
  <c r="M295" i="1"/>
  <c r="L295" i="1"/>
  <c r="K295" i="1"/>
  <c r="J295" i="1"/>
  <c r="M294" i="1"/>
  <c r="L294" i="1"/>
  <c r="K294" i="1"/>
  <c r="J294" i="1"/>
  <c r="M293" i="1"/>
  <c r="L293" i="1"/>
  <c r="K293" i="1"/>
  <c r="J293" i="1"/>
  <c r="M292" i="1"/>
  <c r="L292" i="1"/>
  <c r="K292" i="1"/>
  <c r="J292" i="1"/>
  <c r="M291" i="1"/>
  <c r="L291" i="1"/>
  <c r="K291" i="1"/>
  <c r="J291" i="1"/>
  <c r="M290" i="1"/>
  <c r="L290" i="1"/>
  <c r="K290" i="1"/>
  <c r="J290" i="1"/>
  <c r="M289" i="1"/>
  <c r="L289" i="1"/>
  <c r="K289" i="1"/>
  <c r="J289" i="1"/>
  <c r="M288" i="1"/>
  <c r="L288" i="1"/>
  <c r="K288" i="1"/>
  <c r="J288" i="1"/>
  <c r="M287" i="1"/>
  <c r="L287" i="1"/>
  <c r="K287" i="1"/>
  <c r="J287" i="1"/>
  <c r="M286" i="1"/>
  <c r="L286" i="1"/>
  <c r="K286" i="1"/>
  <c r="J286" i="1"/>
  <c r="M285" i="1"/>
  <c r="L285" i="1"/>
  <c r="K285" i="1"/>
  <c r="J285" i="1"/>
  <c r="M284" i="1"/>
  <c r="L284" i="1"/>
  <c r="K284" i="1"/>
  <c r="J284" i="1"/>
  <c r="M283" i="1"/>
  <c r="L283" i="1"/>
  <c r="K283" i="1"/>
  <c r="J283" i="1"/>
  <c r="M282" i="1"/>
  <c r="L282" i="1"/>
  <c r="K282" i="1"/>
  <c r="J282" i="1"/>
  <c r="M281" i="1"/>
  <c r="L281" i="1"/>
  <c r="K281" i="1"/>
  <c r="J281" i="1"/>
  <c r="M280" i="1"/>
  <c r="L280" i="1"/>
  <c r="K280" i="1"/>
  <c r="J280" i="1"/>
  <c r="M279" i="1"/>
  <c r="L279" i="1"/>
  <c r="K279" i="1"/>
  <c r="J279" i="1"/>
  <c r="M278" i="1"/>
  <c r="L278" i="1"/>
  <c r="K278" i="1"/>
  <c r="J278" i="1"/>
  <c r="M277" i="1"/>
  <c r="L277" i="1"/>
  <c r="K277" i="1"/>
  <c r="J277" i="1"/>
  <c r="M276" i="1"/>
  <c r="L276" i="1"/>
  <c r="K276" i="1"/>
  <c r="J276" i="1"/>
  <c r="M275" i="1"/>
  <c r="L275" i="1"/>
  <c r="K275" i="1"/>
  <c r="J275" i="1"/>
  <c r="M274" i="1"/>
  <c r="L274" i="1"/>
  <c r="K274" i="1"/>
  <c r="J274" i="1"/>
  <c r="M273" i="1"/>
  <c r="L273" i="1"/>
  <c r="K273" i="1"/>
  <c r="J273" i="1"/>
  <c r="M272" i="1"/>
  <c r="L272" i="1"/>
  <c r="K272" i="1"/>
  <c r="J272" i="1"/>
  <c r="M271" i="1"/>
  <c r="L271" i="1"/>
  <c r="K271" i="1"/>
  <c r="J271" i="1"/>
  <c r="M270" i="1"/>
  <c r="L270" i="1"/>
  <c r="K270" i="1"/>
  <c r="J270" i="1"/>
  <c r="M269" i="1"/>
  <c r="L269" i="1"/>
  <c r="K269" i="1"/>
  <c r="J269" i="1"/>
  <c r="M268" i="1"/>
  <c r="L268" i="1"/>
  <c r="K268" i="1"/>
  <c r="J268" i="1"/>
  <c r="M267" i="1"/>
  <c r="L267" i="1"/>
  <c r="K267" i="1"/>
  <c r="J267" i="1"/>
  <c r="M266" i="1"/>
  <c r="L266" i="1"/>
  <c r="K266" i="1"/>
  <c r="J266" i="1"/>
  <c r="M265" i="1"/>
  <c r="L265" i="1"/>
  <c r="K265" i="1"/>
  <c r="J265" i="1"/>
  <c r="M264" i="1"/>
  <c r="L264" i="1"/>
  <c r="K264" i="1"/>
  <c r="J264" i="1"/>
  <c r="M263" i="1"/>
  <c r="L263" i="1"/>
  <c r="K263" i="1"/>
  <c r="J263" i="1"/>
  <c r="M262" i="1"/>
  <c r="L262" i="1"/>
  <c r="K262" i="1"/>
  <c r="J262" i="1"/>
  <c r="M261" i="1"/>
  <c r="L261" i="1"/>
  <c r="K261" i="1"/>
  <c r="J261" i="1"/>
  <c r="M260" i="1"/>
  <c r="L260" i="1"/>
  <c r="K260" i="1"/>
  <c r="J260" i="1"/>
  <c r="M259" i="1"/>
  <c r="L259" i="1"/>
  <c r="K259" i="1"/>
  <c r="J259" i="1"/>
  <c r="M258" i="1"/>
  <c r="L258" i="1"/>
  <c r="K258" i="1"/>
  <c r="J258" i="1"/>
  <c r="M257" i="1"/>
  <c r="L257" i="1"/>
  <c r="K257" i="1"/>
  <c r="J257" i="1"/>
  <c r="M256" i="1"/>
  <c r="L256" i="1"/>
  <c r="K256" i="1"/>
  <c r="J256" i="1"/>
  <c r="M255" i="1"/>
  <c r="L255" i="1"/>
  <c r="K255" i="1"/>
  <c r="J255" i="1"/>
  <c r="M254" i="1"/>
  <c r="L254" i="1"/>
  <c r="K254" i="1"/>
  <c r="J254" i="1"/>
  <c r="M253" i="1"/>
  <c r="L253" i="1"/>
  <c r="K253" i="1"/>
  <c r="J253" i="1"/>
  <c r="M252" i="1"/>
  <c r="L252" i="1"/>
  <c r="K252" i="1"/>
  <c r="J252" i="1"/>
  <c r="M251" i="1"/>
  <c r="L251" i="1"/>
  <c r="K251" i="1"/>
  <c r="J251" i="1"/>
  <c r="M250" i="1"/>
  <c r="L250" i="1"/>
  <c r="K250" i="1"/>
  <c r="J250" i="1"/>
  <c r="M249" i="1"/>
  <c r="L249" i="1"/>
  <c r="K249" i="1"/>
  <c r="J249" i="1"/>
  <c r="M248" i="1"/>
  <c r="L248" i="1"/>
  <c r="K248" i="1"/>
  <c r="J248" i="1"/>
  <c r="M247" i="1"/>
  <c r="L247" i="1"/>
  <c r="K247" i="1"/>
  <c r="J247" i="1"/>
  <c r="M246" i="1"/>
  <c r="L246" i="1"/>
  <c r="K246" i="1"/>
  <c r="J246" i="1"/>
  <c r="M245" i="1"/>
  <c r="L245" i="1"/>
  <c r="K245" i="1"/>
  <c r="J245" i="1"/>
  <c r="M244" i="1"/>
  <c r="L244" i="1"/>
  <c r="K244" i="1"/>
  <c r="J244" i="1"/>
  <c r="M243" i="1"/>
  <c r="L243" i="1"/>
  <c r="K243" i="1"/>
  <c r="J243" i="1"/>
  <c r="M242" i="1"/>
  <c r="L242" i="1"/>
  <c r="K242" i="1"/>
  <c r="J242" i="1"/>
  <c r="M241" i="1"/>
  <c r="L241" i="1"/>
  <c r="K241" i="1"/>
  <c r="J241" i="1"/>
  <c r="M240" i="1"/>
  <c r="L240" i="1"/>
  <c r="K240" i="1"/>
  <c r="J240" i="1"/>
  <c r="M239" i="1"/>
  <c r="L239" i="1"/>
  <c r="K239" i="1"/>
  <c r="J239" i="1"/>
  <c r="M238" i="1"/>
  <c r="L238" i="1"/>
  <c r="K238" i="1"/>
  <c r="J238" i="1"/>
  <c r="M237" i="1"/>
  <c r="L237" i="1"/>
  <c r="K237" i="1"/>
  <c r="J237" i="1"/>
  <c r="M236" i="1"/>
  <c r="L236" i="1"/>
  <c r="K236" i="1"/>
  <c r="J236" i="1"/>
  <c r="M235" i="1"/>
  <c r="L235" i="1"/>
  <c r="K235" i="1"/>
  <c r="J235" i="1"/>
  <c r="M234" i="1"/>
  <c r="L234" i="1"/>
  <c r="K234" i="1"/>
  <c r="J234" i="1"/>
  <c r="M233" i="1"/>
  <c r="L233" i="1"/>
  <c r="K233" i="1"/>
  <c r="J233" i="1"/>
  <c r="M232" i="1"/>
  <c r="L232" i="1"/>
  <c r="K232" i="1"/>
  <c r="J232" i="1"/>
  <c r="M231" i="1"/>
  <c r="L231" i="1"/>
  <c r="K231" i="1"/>
  <c r="J231" i="1"/>
  <c r="M230" i="1"/>
  <c r="L230" i="1"/>
  <c r="K230" i="1"/>
  <c r="J230" i="1"/>
  <c r="M229" i="1"/>
  <c r="L229" i="1"/>
  <c r="K229" i="1"/>
  <c r="J229" i="1"/>
  <c r="M228" i="1"/>
  <c r="L228" i="1"/>
  <c r="K228" i="1"/>
  <c r="J228" i="1"/>
  <c r="M227" i="1"/>
  <c r="L227" i="1"/>
  <c r="K227" i="1"/>
  <c r="J227" i="1"/>
  <c r="M226" i="1"/>
  <c r="L226" i="1"/>
  <c r="K226" i="1"/>
  <c r="J226" i="1"/>
  <c r="M225" i="1"/>
  <c r="L225" i="1"/>
  <c r="K225" i="1"/>
  <c r="J225" i="1"/>
  <c r="M224" i="1"/>
  <c r="L224" i="1"/>
  <c r="K224" i="1"/>
  <c r="J224" i="1"/>
  <c r="M223" i="1"/>
  <c r="L223" i="1"/>
  <c r="K223" i="1"/>
  <c r="J223" i="1"/>
  <c r="M222" i="1"/>
  <c r="L222" i="1"/>
  <c r="K222" i="1"/>
  <c r="J222" i="1"/>
  <c r="M221" i="1"/>
  <c r="L221" i="1"/>
  <c r="K221" i="1"/>
  <c r="J221" i="1"/>
  <c r="M220" i="1"/>
  <c r="L220" i="1"/>
  <c r="K220" i="1"/>
  <c r="J220" i="1"/>
  <c r="M219" i="1"/>
  <c r="L219" i="1"/>
  <c r="K219" i="1"/>
  <c r="J219" i="1"/>
  <c r="M218" i="1"/>
  <c r="L218" i="1"/>
  <c r="K218" i="1"/>
  <c r="J218" i="1"/>
  <c r="M217" i="1"/>
  <c r="L217" i="1"/>
  <c r="K217" i="1"/>
  <c r="J217" i="1"/>
  <c r="M216" i="1"/>
  <c r="L216" i="1"/>
  <c r="K216" i="1"/>
  <c r="J216" i="1"/>
  <c r="M215" i="1"/>
  <c r="L215" i="1"/>
  <c r="K215" i="1"/>
  <c r="J215" i="1"/>
  <c r="M214" i="1"/>
  <c r="L214" i="1"/>
  <c r="K214" i="1"/>
  <c r="J214" i="1"/>
  <c r="M213" i="1"/>
  <c r="L213" i="1"/>
  <c r="K213" i="1"/>
  <c r="J213" i="1"/>
  <c r="M212" i="1"/>
  <c r="L212" i="1"/>
  <c r="K212" i="1"/>
  <c r="J212" i="1"/>
  <c r="M211" i="1"/>
  <c r="L211" i="1"/>
  <c r="K211" i="1"/>
  <c r="J211" i="1"/>
  <c r="M210" i="1"/>
  <c r="L210" i="1"/>
  <c r="K210" i="1"/>
  <c r="J210" i="1"/>
  <c r="M209" i="1"/>
  <c r="L209" i="1"/>
  <c r="K209" i="1"/>
  <c r="J209" i="1"/>
  <c r="M208" i="1"/>
  <c r="L208" i="1"/>
  <c r="K208" i="1"/>
  <c r="J208" i="1"/>
  <c r="M207" i="1"/>
  <c r="L207" i="1"/>
  <c r="K207" i="1"/>
  <c r="J207" i="1"/>
  <c r="M206" i="1"/>
  <c r="L206" i="1"/>
  <c r="K206" i="1"/>
  <c r="J206" i="1"/>
  <c r="M205" i="1"/>
  <c r="L205" i="1"/>
  <c r="K205" i="1"/>
  <c r="J205" i="1"/>
  <c r="M204" i="1"/>
  <c r="L204" i="1"/>
  <c r="K204" i="1"/>
  <c r="J204" i="1"/>
  <c r="M203" i="1"/>
  <c r="L203" i="1"/>
  <c r="K203" i="1"/>
  <c r="J203" i="1"/>
  <c r="M202" i="1"/>
  <c r="L202" i="1"/>
  <c r="K202" i="1"/>
  <c r="J202" i="1"/>
  <c r="M201" i="1"/>
  <c r="L201" i="1"/>
  <c r="K201" i="1"/>
  <c r="J201" i="1"/>
  <c r="M200" i="1"/>
  <c r="L200" i="1"/>
  <c r="K200" i="1"/>
  <c r="J200" i="1"/>
  <c r="M199" i="1"/>
  <c r="L199" i="1"/>
  <c r="K199" i="1"/>
  <c r="J199" i="1"/>
  <c r="M198" i="1"/>
  <c r="L198" i="1"/>
  <c r="K198" i="1"/>
  <c r="J198" i="1"/>
  <c r="M197" i="1"/>
  <c r="L197" i="1"/>
  <c r="K197" i="1"/>
  <c r="J197" i="1"/>
  <c r="M196" i="1"/>
  <c r="L196" i="1"/>
  <c r="K196" i="1"/>
  <c r="J196" i="1"/>
  <c r="M195" i="1"/>
  <c r="L195" i="1"/>
  <c r="K195" i="1"/>
  <c r="J195" i="1"/>
  <c r="M194" i="1"/>
  <c r="L194" i="1"/>
  <c r="K194" i="1"/>
  <c r="J194" i="1"/>
  <c r="M193" i="1"/>
  <c r="L193" i="1"/>
  <c r="K193" i="1"/>
  <c r="J193" i="1"/>
  <c r="M192" i="1"/>
  <c r="L192" i="1"/>
  <c r="K192" i="1"/>
  <c r="J192" i="1"/>
  <c r="M191" i="1"/>
  <c r="L191" i="1"/>
  <c r="K191" i="1"/>
  <c r="J191" i="1"/>
  <c r="M190" i="1"/>
  <c r="L190" i="1"/>
  <c r="K190" i="1"/>
  <c r="J190" i="1"/>
  <c r="M189" i="1"/>
  <c r="L189" i="1"/>
  <c r="K189" i="1"/>
  <c r="J189" i="1"/>
  <c r="M188" i="1"/>
  <c r="L188" i="1"/>
  <c r="K188" i="1"/>
  <c r="J188" i="1"/>
  <c r="M187" i="1"/>
  <c r="L187" i="1"/>
  <c r="K187" i="1"/>
  <c r="J187" i="1"/>
  <c r="M186" i="1"/>
  <c r="L186" i="1"/>
  <c r="K186" i="1"/>
  <c r="J186" i="1"/>
  <c r="M185" i="1"/>
  <c r="L185" i="1"/>
  <c r="K185" i="1"/>
  <c r="J185" i="1"/>
  <c r="M184" i="1"/>
  <c r="L184" i="1"/>
  <c r="K184" i="1"/>
  <c r="J184" i="1"/>
  <c r="M183" i="1"/>
  <c r="L183" i="1"/>
  <c r="K183" i="1"/>
  <c r="J183" i="1"/>
  <c r="M182" i="1"/>
  <c r="L182" i="1"/>
  <c r="K182" i="1"/>
  <c r="J182" i="1"/>
  <c r="M181" i="1"/>
  <c r="L181" i="1"/>
  <c r="K181" i="1"/>
  <c r="J181" i="1"/>
  <c r="M180" i="1"/>
  <c r="L180" i="1"/>
  <c r="K180" i="1"/>
  <c r="J180" i="1"/>
  <c r="M179" i="1"/>
  <c r="L179" i="1"/>
  <c r="K179" i="1"/>
  <c r="J179" i="1"/>
  <c r="M178" i="1"/>
  <c r="L178" i="1"/>
  <c r="K178" i="1"/>
  <c r="J178" i="1"/>
  <c r="M177" i="1"/>
  <c r="L177" i="1"/>
  <c r="K177" i="1"/>
  <c r="J177" i="1"/>
  <c r="M176" i="1"/>
  <c r="L176" i="1"/>
  <c r="K176" i="1"/>
  <c r="J176" i="1"/>
  <c r="M175" i="1"/>
  <c r="L175" i="1"/>
  <c r="K175" i="1"/>
  <c r="J175" i="1"/>
  <c r="M174" i="1"/>
  <c r="L174" i="1"/>
  <c r="K174" i="1"/>
  <c r="J174" i="1"/>
  <c r="M173" i="1"/>
  <c r="L173" i="1"/>
  <c r="K173" i="1"/>
  <c r="J173" i="1"/>
  <c r="M172" i="1"/>
  <c r="L172" i="1"/>
  <c r="K172" i="1"/>
  <c r="J172" i="1"/>
  <c r="M171" i="1"/>
  <c r="L171" i="1"/>
  <c r="K171" i="1"/>
  <c r="J171" i="1"/>
  <c r="M170" i="1"/>
  <c r="L170" i="1"/>
  <c r="K170" i="1"/>
  <c r="J170" i="1"/>
  <c r="M169" i="1"/>
  <c r="L169" i="1"/>
  <c r="K169" i="1"/>
  <c r="J169" i="1"/>
  <c r="M168" i="1"/>
  <c r="L168" i="1"/>
  <c r="K168" i="1"/>
  <c r="J168" i="1"/>
  <c r="M167" i="1"/>
  <c r="L167" i="1"/>
  <c r="K167" i="1"/>
  <c r="J167" i="1"/>
  <c r="M166" i="1"/>
  <c r="L166" i="1"/>
  <c r="K166" i="1"/>
  <c r="J166" i="1"/>
  <c r="M165" i="1"/>
  <c r="L165" i="1"/>
  <c r="K165" i="1"/>
  <c r="J165" i="1"/>
  <c r="M164" i="1"/>
  <c r="L164" i="1"/>
  <c r="K164" i="1"/>
  <c r="J164" i="1"/>
  <c r="M163" i="1"/>
  <c r="L163" i="1"/>
  <c r="K163" i="1"/>
  <c r="J163" i="1"/>
  <c r="M162" i="1"/>
  <c r="L162" i="1"/>
  <c r="K162" i="1"/>
  <c r="J162" i="1"/>
  <c r="M161" i="1"/>
  <c r="L161" i="1"/>
  <c r="K161" i="1"/>
  <c r="J161" i="1"/>
  <c r="M160" i="1"/>
  <c r="L160" i="1"/>
  <c r="K160" i="1"/>
  <c r="J160" i="1"/>
  <c r="M159" i="1"/>
  <c r="L159" i="1"/>
  <c r="K159" i="1"/>
  <c r="J159" i="1"/>
  <c r="M158" i="1"/>
  <c r="L158" i="1"/>
  <c r="K158" i="1"/>
  <c r="J158" i="1"/>
  <c r="M157" i="1"/>
  <c r="L157" i="1"/>
  <c r="K157" i="1"/>
  <c r="J157" i="1"/>
  <c r="M156" i="1"/>
  <c r="L156" i="1"/>
  <c r="K156" i="1"/>
  <c r="J156" i="1"/>
  <c r="M155" i="1"/>
  <c r="L155" i="1"/>
  <c r="K155" i="1"/>
  <c r="J155" i="1"/>
  <c r="M154" i="1"/>
  <c r="L154" i="1"/>
  <c r="K154" i="1"/>
  <c r="J154" i="1"/>
  <c r="M153" i="1"/>
  <c r="L153" i="1"/>
  <c r="K153" i="1"/>
  <c r="J153" i="1"/>
  <c r="M152" i="1"/>
  <c r="L152" i="1"/>
  <c r="K152" i="1"/>
  <c r="J152" i="1"/>
  <c r="M151" i="1"/>
  <c r="L151" i="1"/>
  <c r="K151" i="1"/>
  <c r="J151" i="1"/>
  <c r="M150" i="1"/>
  <c r="L150" i="1"/>
  <c r="K150" i="1"/>
  <c r="J150" i="1"/>
  <c r="M149" i="1"/>
  <c r="L149" i="1"/>
  <c r="K149" i="1"/>
  <c r="J149" i="1"/>
  <c r="M148" i="1"/>
  <c r="L148" i="1"/>
  <c r="K148" i="1"/>
  <c r="J148" i="1"/>
  <c r="M147" i="1"/>
  <c r="L147" i="1"/>
  <c r="K147" i="1"/>
  <c r="J147" i="1"/>
  <c r="M146" i="1"/>
  <c r="L146" i="1"/>
  <c r="K146" i="1"/>
  <c r="J146" i="1"/>
  <c r="M145" i="1"/>
  <c r="L145" i="1"/>
  <c r="K145" i="1"/>
  <c r="J145" i="1"/>
  <c r="M144" i="1"/>
  <c r="L144" i="1"/>
  <c r="K144" i="1"/>
  <c r="J144" i="1"/>
  <c r="M143" i="1"/>
  <c r="L143" i="1"/>
  <c r="K143" i="1"/>
  <c r="J143" i="1"/>
  <c r="M142" i="1"/>
  <c r="L142" i="1"/>
  <c r="K142" i="1"/>
  <c r="J142" i="1"/>
  <c r="M141" i="1"/>
  <c r="L141" i="1"/>
  <c r="K141" i="1"/>
  <c r="J141" i="1"/>
  <c r="M140" i="1"/>
  <c r="L140" i="1"/>
  <c r="K140" i="1"/>
  <c r="J140" i="1"/>
  <c r="M139" i="1"/>
  <c r="L139" i="1"/>
  <c r="K139" i="1"/>
  <c r="J139" i="1"/>
  <c r="M138" i="1"/>
  <c r="L138" i="1"/>
  <c r="K138" i="1"/>
  <c r="J138" i="1"/>
  <c r="M137" i="1"/>
  <c r="L137" i="1"/>
  <c r="K137" i="1"/>
  <c r="J137" i="1"/>
  <c r="M136" i="1"/>
  <c r="L136" i="1"/>
  <c r="K136" i="1"/>
  <c r="J136" i="1"/>
  <c r="M135" i="1"/>
  <c r="L135" i="1"/>
  <c r="K135" i="1"/>
  <c r="J135" i="1"/>
  <c r="M134" i="1"/>
  <c r="L134" i="1"/>
  <c r="K134" i="1"/>
  <c r="J134" i="1"/>
  <c r="M133" i="1"/>
  <c r="L133" i="1"/>
  <c r="K133" i="1"/>
  <c r="J133" i="1"/>
  <c r="M132" i="1"/>
  <c r="L132" i="1"/>
  <c r="K132" i="1"/>
  <c r="J132" i="1"/>
  <c r="M131" i="1"/>
  <c r="L131" i="1"/>
  <c r="K131" i="1"/>
  <c r="J131" i="1"/>
  <c r="M130" i="1"/>
  <c r="L130" i="1"/>
  <c r="K130" i="1"/>
  <c r="J130" i="1"/>
  <c r="M129" i="1"/>
  <c r="L129" i="1"/>
  <c r="K129" i="1"/>
  <c r="J129" i="1"/>
  <c r="M128" i="1"/>
  <c r="L128" i="1"/>
  <c r="K128" i="1"/>
  <c r="J128" i="1"/>
  <c r="M127" i="1"/>
  <c r="L127" i="1"/>
  <c r="K127" i="1"/>
  <c r="J127" i="1"/>
  <c r="M126" i="1"/>
  <c r="L126" i="1"/>
  <c r="K126" i="1"/>
  <c r="J126" i="1"/>
  <c r="M125" i="1"/>
  <c r="L125" i="1"/>
  <c r="K125" i="1"/>
  <c r="J125" i="1"/>
  <c r="M124" i="1"/>
  <c r="L124" i="1"/>
  <c r="K124" i="1"/>
  <c r="J124" i="1"/>
  <c r="M123" i="1"/>
  <c r="L123" i="1"/>
  <c r="K123" i="1"/>
  <c r="J123" i="1"/>
  <c r="M122" i="1"/>
  <c r="L122" i="1"/>
  <c r="K122" i="1"/>
  <c r="J122" i="1"/>
  <c r="M121" i="1"/>
  <c r="L121" i="1"/>
  <c r="K121" i="1"/>
  <c r="J121" i="1"/>
  <c r="M120" i="1"/>
  <c r="L120" i="1"/>
  <c r="K120" i="1"/>
  <c r="J120" i="1"/>
  <c r="M119" i="1"/>
  <c r="L119" i="1"/>
  <c r="K119" i="1"/>
  <c r="J119" i="1"/>
  <c r="M118" i="1"/>
  <c r="L118" i="1"/>
  <c r="K118" i="1"/>
  <c r="J118" i="1"/>
  <c r="M117" i="1"/>
  <c r="L117" i="1"/>
  <c r="K117" i="1"/>
  <c r="J117" i="1"/>
  <c r="M116" i="1"/>
  <c r="L116" i="1"/>
  <c r="K116" i="1"/>
  <c r="J116" i="1"/>
  <c r="M115" i="1"/>
  <c r="L115" i="1"/>
  <c r="K115" i="1"/>
  <c r="J115" i="1"/>
  <c r="M114" i="1"/>
  <c r="L114" i="1"/>
  <c r="K114" i="1"/>
  <c r="J114" i="1"/>
  <c r="M113" i="1"/>
  <c r="L113" i="1"/>
  <c r="K113" i="1"/>
  <c r="J113" i="1"/>
  <c r="M112" i="1"/>
  <c r="L112" i="1"/>
  <c r="K112" i="1"/>
  <c r="J112" i="1"/>
  <c r="M111" i="1"/>
  <c r="L111" i="1"/>
  <c r="K111" i="1"/>
  <c r="J111" i="1"/>
  <c r="M110" i="1"/>
  <c r="L110" i="1"/>
  <c r="K110" i="1"/>
  <c r="J110" i="1"/>
  <c r="M109" i="1"/>
  <c r="L109" i="1"/>
  <c r="K109" i="1"/>
  <c r="J109" i="1"/>
  <c r="M108" i="1"/>
  <c r="L108" i="1"/>
  <c r="K108" i="1"/>
  <c r="J108" i="1"/>
  <c r="M107" i="1"/>
  <c r="L107" i="1"/>
  <c r="K107" i="1"/>
  <c r="J107" i="1"/>
  <c r="M106" i="1"/>
  <c r="L106" i="1"/>
  <c r="K106" i="1"/>
  <c r="J106" i="1"/>
  <c r="M105" i="1"/>
  <c r="L105" i="1"/>
  <c r="K105" i="1"/>
  <c r="J105" i="1"/>
  <c r="M104" i="1"/>
  <c r="L104" i="1"/>
  <c r="K104" i="1"/>
  <c r="J104" i="1"/>
  <c r="M103" i="1"/>
  <c r="L103" i="1"/>
  <c r="K103" i="1"/>
  <c r="J103" i="1"/>
  <c r="M102" i="1"/>
  <c r="L102" i="1"/>
  <c r="K102" i="1"/>
  <c r="J102" i="1"/>
  <c r="M101" i="1"/>
  <c r="L101" i="1"/>
  <c r="K101" i="1"/>
  <c r="J101" i="1"/>
  <c r="M100" i="1"/>
  <c r="L100" i="1"/>
  <c r="K100" i="1"/>
  <c r="J100" i="1"/>
  <c r="M99" i="1"/>
  <c r="L99" i="1"/>
  <c r="K99" i="1"/>
  <c r="J99" i="1"/>
  <c r="M98" i="1"/>
  <c r="L98" i="1"/>
  <c r="K98" i="1"/>
  <c r="J98" i="1"/>
  <c r="M97" i="1"/>
  <c r="L97" i="1"/>
  <c r="K97" i="1"/>
  <c r="J97" i="1"/>
  <c r="M96" i="1"/>
  <c r="L96" i="1"/>
  <c r="K96" i="1"/>
  <c r="J96" i="1"/>
  <c r="M95" i="1"/>
  <c r="L95" i="1"/>
  <c r="K95" i="1"/>
  <c r="J95" i="1"/>
  <c r="M94" i="1"/>
  <c r="L94" i="1"/>
  <c r="K94" i="1"/>
  <c r="J94" i="1"/>
  <c r="M93" i="1"/>
  <c r="L93" i="1"/>
  <c r="K93" i="1"/>
  <c r="J93" i="1"/>
  <c r="M92" i="1"/>
  <c r="L92" i="1"/>
  <c r="K92" i="1"/>
  <c r="J92" i="1"/>
  <c r="M91" i="1"/>
  <c r="L91" i="1"/>
  <c r="K91" i="1"/>
  <c r="J91" i="1"/>
  <c r="M90" i="1"/>
  <c r="L90" i="1"/>
  <c r="K90" i="1"/>
  <c r="J90" i="1"/>
  <c r="M89" i="1"/>
  <c r="L89" i="1"/>
  <c r="K89" i="1"/>
  <c r="J89" i="1"/>
  <c r="M88" i="1"/>
  <c r="L88" i="1"/>
  <c r="K88" i="1"/>
  <c r="J88" i="1"/>
  <c r="M87" i="1"/>
  <c r="L87" i="1"/>
  <c r="K87" i="1"/>
  <c r="J87" i="1"/>
  <c r="M86" i="1"/>
  <c r="L86" i="1"/>
  <c r="K86" i="1"/>
  <c r="J86" i="1"/>
  <c r="M85" i="1"/>
  <c r="L85" i="1"/>
  <c r="K85" i="1"/>
  <c r="J85" i="1"/>
  <c r="M84" i="1"/>
  <c r="L84" i="1"/>
  <c r="K84" i="1"/>
  <c r="J84" i="1"/>
  <c r="M83" i="1"/>
  <c r="L83" i="1"/>
  <c r="K83" i="1"/>
  <c r="J83" i="1"/>
  <c r="M82" i="1"/>
  <c r="L82" i="1"/>
  <c r="K82" i="1"/>
  <c r="J82" i="1"/>
  <c r="M81" i="1"/>
  <c r="L81" i="1"/>
  <c r="K81" i="1"/>
  <c r="J81" i="1"/>
  <c r="M80" i="1"/>
  <c r="L80" i="1"/>
  <c r="K80" i="1"/>
  <c r="J80" i="1"/>
  <c r="M79" i="1"/>
  <c r="L79" i="1"/>
  <c r="K79" i="1"/>
  <c r="J79" i="1"/>
  <c r="M78" i="1"/>
  <c r="L78" i="1"/>
  <c r="K78" i="1"/>
  <c r="J78" i="1"/>
  <c r="M77" i="1"/>
  <c r="L77" i="1"/>
  <c r="K77" i="1"/>
  <c r="J77" i="1"/>
  <c r="M76" i="1"/>
  <c r="L76" i="1"/>
  <c r="K76" i="1"/>
  <c r="J76" i="1"/>
  <c r="M75" i="1"/>
  <c r="L75" i="1"/>
  <c r="K75" i="1"/>
  <c r="J75" i="1"/>
  <c r="M74" i="1"/>
  <c r="L74" i="1"/>
  <c r="K74" i="1"/>
  <c r="J74" i="1"/>
  <c r="M73" i="1"/>
  <c r="L73" i="1"/>
  <c r="K73" i="1"/>
  <c r="J73" i="1"/>
  <c r="M72" i="1"/>
  <c r="L72" i="1"/>
  <c r="K72" i="1"/>
  <c r="J72" i="1"/>
  <c r="M71" i="1"/>
  <c r="L71" i="1"/>
  <c r="K71" i="1"/>
  <c r="J71" i="1"/>
  <c r="M70" i="1"/>
  <c r="L70" i="1"/>
  <c r="K70" i="1"/>
  <c r="J70" i="1"/>
  <c r="M69" i="1"/>
  <c r="L69" i="1"/>
  <c r="K69" i="1"/>
  <c r="J69" i="1"/>
  <c r="M68" i="1"/>
  <c r="L68" i="1"/>
  <c r="K68" i="1"/>
  <c r="J68" i="1"/>
  <c r="M67" i="1"/>
  <c r="L67" i="1"/>
  <c r="K67" i="1"/>
  <c r="J67" i="1"/>
  <c r="M66" i="1"/>
  <c r="L66" i="1"/>
  <c r="K66" i="1"/>
  <c r="J66" i="1"/>
  <c r="M65" i="1"/>
  <c r="L65" i="1"/>
  <c r="K65" i="1"/>
  <c r="J65" i="1"/>
  <c r="M64" i="1"/>
  <c r="L64" i="1"/>
  <c r="K64" i="1"/>
  <c r="J64" i="1"/>
  <c r="M63" i="1"/>
  <c r="L63" i="1"/>
  <c r="K63" i="1"/>
  <c r="J63" i="1"/>
  <c r="M62" i="1"/>
  <c r="L62" i="1"/>
  <c r="K62" i="1"/>
  <c r="J62" i="1"/>
  <c r="M61" i="1"/>
  <c r="L61" i="1"/>
  <c r="K61" i="1"/>
  <c r="J61" i="1"/>
  <c r="M60" i="1"/>
  <c r="L60" i="1"/>
  <c r="K60" i="1"/>
  <c r="J60" i="1"/>
  <c r="M59" i="1"/>
  <c r="L59" i="1"/>
  <c r="K59" i="1"/>
  <c r="J59" i="1"/>
  <c r="M58" i="1"/>
  <c r="L58" i="1"/>
  <c r="K58" i="1"/>
  <c r="J58" i="1"/>
  <c r="M57" i="1"/>
  <c r="L57" i="1"/>
  <c r="K57" i="1"/>
  <c r="J57" i="1"/>
  <c r="M56" i="1"/>
  <c r="L56" i="1"/>
  <c r="K56" i="1"/>
  <c r="J56" i="1"/>
  <c r="M55" i="1"/>
  <c r="L55" i="1"/>
  <c r="K55" i="1"/>
  <c r="J55" i="1"/>
  <c r="M54" i="1"/>
  <c r="L54" i="1"/>
  <c r="K54" i="1"/>
  <c r="J54" i="1"/>
  <c r="M53" i="1"/>
  <c r="L53" i="1"/>
  <c r="K53" i="1"/>
  <c r="J53" i="1"/>
  <c r="M52" i="1"/>
  <c r="L52" i="1"/>
  <c r="K52" i="1"/>
  <c r="J52" i="1"/>
  <c r="M51" i="1"/>
  <c r="L51" i="1"/>
  <c r="K51" i="1"/>
  <c r="J51" i="1"/>
  <c r="M50" i="1"/>
  <c r="L50" i="1"/>
  <c r="K50" i="1"/>
  <c r="J50" i="1"/>
  <c r="M49" i="1"/>
  <c r="L49" i="1"/>
  <c r="K49" i="1"/>
  <c r="J49" i="1"/>
  <c r="M48" i="1"/>
  <c r="L48" i="1"/>
  <c r="K48" i="1"/>
  <c r="J48" i="1"/>
  <c r="M47" i="1"/>
  <c r="L47" i="1"/>
  <c r="K47" i="1"/>
  <c r="J47" i="1"/>
  <c r="M46" i="1"/>
  <c r="L46" i="1"/>
  <c r="K46" i="1"/>
  <c r="J46" i="1"/>
  <c r="M45" i="1"/>
  <c r="L45" i="1"/>
  <c r="K45" i="1"/>
  <c r="J45" i="1"/>
  <c r="M44" i="1"/>
  <c r="L44" i="1"/>
  <c r="K44" i="1"/>
  <c r="J44" i="1"/>
  <c r="M43" i="1"/>
  <c r="L43" i="1"/>
  <c r="K43" i="1"/>
  <c r="J43" i="1"/>
  <c r="M42" i="1"/>
  <c r="L42" i="1"/>
  <c r="K42" i="1"/>
  <c r="J42" i="1"/>
  <c r="M41" i="1"/>
  <c r="L41" i="1"/>
  <c r="K41" i="1"/>
  <c r="J41" i="1"/>
  <c r="M40" i="1"/>
  <c r="L40" i="1"/>
  <c r="K40" i="1"/>
  <c r="J40" i="1"/>
  <c r="M39" i="1"/>
  <c r="L39" i="1"/>
  <c r="K39" i="1"/>
  <c r="J39" i="1"/>
  <c r="M38" i="1"/>
  <c r="L38" i="1"/>
  <c r="K38" i="1"/>
  <c r="J38" i="1"/>
  <c r="M37" i="1"/>
  <c r="L37" i="1"/>
  <c r="K37" i="1"/>
  <c r="J37" i="1"/>
  <c r="M36" i="1"/>
  <c r="L36" i="1"/>
  <c r="K36" i="1"/>
  <c r="J36" i="1"/>
  <c r="M35" i="1"/>
  <c r="L35" i="1"/>
  <c r="K35" i="1"/>
  <c r="J35" i="1"/>
  <c r="M34" i="1"/>
  <c r="L34" i="1"/>
  <c r="K34" i="1"/>
  <c r="J34" i="1"/>
  <c r="M33" i="1"/>
  <c r="L33" i="1"/>
  <c r="K33" i="1"/>
  <c r="J33" i="1"/>
  <c r="M32" i="1"/>
  <c r="L32" i="1"/>
  <c r="K32" i="1"/>
  <c r="J32" i="1"/>
  <c r="M31" i="1"/>
  <c r="L31" i="1"/>
  <c r="K31" i="1"/>
  <c r="J31" i="1"/>
  <c r="M30" i="1"/>
  <c r="L30" i="1"/>
  <c r="K30" i="1"/>
  <c r="J30" i="1"/>
  <c r="M29" i="1"/>
  <c r="L29" i="1"/>
  <c r="K29" i="1"/>
  <c r="J29" i="1"/>
  <c r="M28" i="1"/>
  <c r="L28" i="1"/>
  <c r="K28" i="1"/>
  <c r="J28" i="1"/>
  <c r="M27" i="1"/>
  <c r="L27" i="1"/>
  <c r="K27" i="1"/>
  <c r="J27" i="1"/>
  <c r="M26" i="1"/>
  <c r="L26" i="1"/>
  <c r="K26" i="1"/>
  <c r="J26" i="1"/>
  <c r="M25" i="1"/>
  <c r="L25" i="1"/>
  <c r="K25" i="1"/>
  <c r="J25" i="1"/>
  <c r="M24" i="1"/>
  <c r="L24" i="1"/>
  <c r="K24" i="1"/>
  <c r="J24" i="1"/>
  <c r="M23" i="1"/>
  <c r="L23" i="1"/>
  <c r="K23" i="1"/>
  <c r="J23" i="1"/>
  <c r="M22" i="1"/>
  <c r="L22" i="1"/>
  <c r="K22" i="1"/>
  <c r="J22" i="1"/>
  <c r="M21" i="1"/>
  <c r="L21" i="1"/>
  <c r="K21" i="1"/>
  <c r="J21" i="1"/>
  <c r="M20" i="1"/>
  <c r="L20" i="1"/>
  <c r="K20" i="1"/>
  <c r="J20" i="1"/>
  <c r="M19" i="1"/>
  <c r="L19" i="1"/>
  <c r="K19" i="1"/>
  <c r="J19" i="1"/>
  <c r="M18" i="1"/>
  <c r="L18" i="1"/>
  <c r="K18" i="1"/>
  <c r="J18" i="1"/>
  <c r="M17" i="1"/>
  <c r="L17" i="1"/>
  <c r="K17" i="1"/>
  <c r="J17" i="1"/>
  <c r="M16" i="1"/>
  <c r="L16" i="1"/>
  <c r="K16" i="1"/>
  <c r="J16" i="1"/>
  <c r="M15" i="1"/>
  <c r="L15" i="1"/>
  <c r="K15" i="1"/>
  <c r="J15" i="1"/>
  <c r="M14" i="1"/>
  <c r="L14" i="1"/>
  <c r="K14" i="1"/>
  <c r="J14" i="1"/>
  <c r="M13" i="1"/>
  <c r="L13" i="1"/>
  <c r="K13" i="1"/>
  <c r="J13" i="1"/>
  <c r="M12" i="1"/>
  <c r="L12" i="1"/>
  <c r="K12" i="1"/>
  <c r="J12" i="1"/>
  <c r="M11" i="1"/>
  <c r="L11" i="1"/>
  <c r="K11" i="1"/>
  <c r="J11" i="1"/>
  <c r="M10" i="1"/>
  <c r="L10" i="1"/>
  <c r="K10" i="1"/>
  <c r="J10" i="1"/>
  <c r="M9" i="1"/>
  <c r="L9" i="1"/>
  <c r="K9" i="1"/>
  <c r="J9" i="1"/>
  <c r="M8" i="1"/>
  <c r="L8" i="1"/>
  <c r="K8" i="1"/>
  <c r="J8" i="1"/>
  <c r="M7" i="1"/>
  <c r="L7" i="1"/>
  <c r="K7" i="1"/>
  <c r="J7" i="1"/>
  <c r="M6" i="1"/>
  <c r="L6" i="1"/>
  <c r="K6" i="1"/>
  <c r="J6" i="1"/>
  <c r="M5" i="1"/>
  <c r="L5" i="1"/>
  <c r="K5" i="1"/>
  <c r="J5" i="1"/>
  <c r="M4" i="1"/>
  <c r="L4" i="1"/>
  <c r="K4" i="1"/>
  <c r="J4" i="1"/>
  <c r="M3" i="1"/>
  <c r="L3" i="1"/>
  <c r="K3" i="1"/>
  <c r="J3" i="1"/>
  <c r="M2" i="1"/>
  <c r="L2" i="1"/>
  <c r="K2" i="1"/>
  <c r="J2" i="1"/>
</calcChain>
</file>

<file path=xl/sharedStrings.xml><?xml version="1.0" encoding="utf-8"?>
<sst xmlns="http://schemas.openxmlformats.org/spreadsheetml/2006/main" count="3607" uniqueCount="636">
  <si>
    <t>Order_ID</t>
  </si>
  <si>
    <t>Order_Date</t>
  </si>
  <si>
    <t>Region</t>
  </si>
  <si>
    <t>Product_Category</t>
  </si>
  <si>
    <t>Product_Name</t>
  </si>
  <si>
    <t>Unit_Price</t>
  </si>
  <si>
    <t>Cost_Price</t>
  </si>
  <si>
    <t>Quantity</t>
  </si>
  <si>
    <t>Discount_Percent</t>
  </si>
  <si>
    <t>Revenue</t>
  </si>
  <si>
    <t>Discount_Amount</t>
  </si>
  <si>
    <t>Profit</t>
  </si>
  <si>
    <t>Profit_Margin_Percent</t>
  </si>
  <si>
    <t>ORD0001</t>
  </si>
  <si>
    <t>2024-08-28</t>
  </si>
  <si>
    <t>East</t>
  </si>
  <si>
    <t>Electronics</t>
  </si>
  <si>
    <t>Laptop</t>
  </si>
  <si>
    <t>ORD0002</t>
  </si>
  <si>
    <t>2024-07-24</t>
  </si>
  <si>
    <t>North</t>
  </si>
  <si>
    <t>Apparel</t>
  </si>
  <si>
    <t>Shoes</t>
  </si>
  <si>
    <t>ORD0003</t>
  </si>
  <si>
    <t>2024-09-22</t>
  </si>
  <si>
    <t>South</t>
  </si>
  <si>
    <t>Headphones</t>
  </si>
  <si>
    <t>ORD0004</t>
  </si>
  <si>
    <t>2024-02-08</t>
  </si>
  <si>
    <t>West</t>
  </si>
  <si>
    <t>Furniture</t>
  </si>
  <si>
    <t>Chair</t>
  </si>
  <si>
    <t>ORD0005</t>
  </si>
  <si>
    <t>2024-05-01</t>
  </si>
  <si>
    <t>Cabinet</t>
  </si>
  <si>
    <t>ORD0006</t>
  </si>
  <si>
    <t>2024-05-04</t>
  </si>
  <si>
    <t>Jacket</t>
  </si>
  <si>
    <t>ORD0007</t>
  </si>
  <si>
    <t>2024-12-29</t>
  </si>
  <si>
    <t>Smartphone</t>
  </si>
  <si>
    <t>ORD0008</t>
  </si>
  <si>
    <t>2024-02-23</t>
  </si>
  <si>
    <t>ORD0009</t>
  </si>
  <si>
    <t>2024-02-09</t>
  </si>
  <si>
    <t>ORD0010</t>
  </si>
  <si>
    <t>2024-10-13</t>
  </si>
  <si>
    <t>T-Shirt</t>
  </si>
  <si>
    <t>ORD0011</t>
  </si>
  <si>
    <t>2024-01-10</t>
  </si>
  <si>
    <t>ORD0012</t>
  </si>
  <si>
    <t>2024-01-26</t>
  </si>
  <si>
    <t>ORD0013</t>
  </si>
  <si>
    <t>2024-12-08</t>
  </si>
  <si>
    <t>ORD0014</t>
  </si>
  <si>
    <t>2024-08-14</t>
  </si>
  <si>
    <t>Table</t>
  </si>
  <si>
    <t>ORD0015</t>
  </si>
  <si>
    <t>2024-12-21</t>
  </si>
  <si>
    <t>Sofa</t>
  </si>
  <si>
    <t>ORD0016</t>
  </si>
  <si>
    <t>2024-05-29</t>
  </si>
  <si>
    <t>Jeans</t>
  </si>
  <si>
    <t>ORD0017</t>
  </si>
  <si>
    <t>2024-05-19</t>
  </si>
  <si>
    <t>ORD0018</t>
  </si>
  <si>
    <t>2024-06-28</t>
  </si>
  <si>
    <t>ORD0019</t>
  </si>
  <si>
    <t>2024-10-09</t>
  </si>
  <si>
    <t>ORD0020</t>
  </si>
  <si>
    <t>2024-06-13</t>
  </si>
  <si>
    <t>ORD0021</t>
  </si>
  <si>
    <t>2024-04-22</t>
  </si>
  <si>
    <t>ORD0022</t>
  </si>
  <si>
    <t>2024-01-12</t>
  </si>
  <si>
    <t>ORD0023</t>
  </si>
  <si>
    <t>2024-05-08</t>
  </si>
  <si>
    <t>ORD0024</t>
  </si>
  <si>
    <t>2024-04-27</t>
  </si>
  <si>
    <t>ORD0025</t>
  </si>
  <si>
    <t>2024-10-01</t>
  </si>
  <si>
    <t>ORD0026</t>
  </si>
  <si>
    <t>ORD0027</t>
  </si>
  <si>
    <t>2024-10-10</t>
  </si>
  <si>
    <t>ORD0028</t>
  </si>
  <si>
    <t>Tablet</t>
  </si>
  <si>
    <t>ORD0029</t>
  </si>
  <si>
    <t>2024-03-06</t>
  </si>
  <si>
    <t>ORD0030</t>
  </si>
  <si>
    <t>2024-03-23</t>
  </si>
  <si>
    <t>ORD0031</t>
  </si>
  <si>
    <t>2024-05-11</t>
  </si>
  <si>
    <t>ORD0032</t>
  </si>
  <si>
    <t>2024-05-03</t>
  </si>
  <si>
    <t>ORD0033</t>
  </si>
  <si>
    <t>2024-10-06</t>
  </si>
  <si>
    <t>ORD0034</t>
  </si>
  <si>
    <t>2024-03-04</t>
  </si>
  <si>
    <t>ORD0035</t>
  </si>
  <si>
    <t>ORD0036</t>
  </si>
  <si>
    <t>2024-04-13</t>
  </si>
  <si>
    <t>ORD0037</t>
  </si>
  <si>
    <t>2024-09-09</t>
  </si>
  <si>
    <t>ORD0038</t>
  </si>
  <si>
    <t>2024-12-13</t>
  </si>
  <si>
    <t>ORD0039</t>
  </si>
  <si>
    <t>ORD0040</t>
  </si>
  <si>
    <t>2024-09-07</t>
  </si>
  <si>
    <t>ORD0041</t>
  </si>
  <si>
    <t>ORD0042</t>
  </si>
  <si>
    <t>2024-08-11</t>
  </si>
  <si>
    <t>ORD0043</t>
  </si>
  <si>
    <t>2024-12-17</t>
  </si>
  <si>
    <t>ORD0044</t>
  </si>
  <si>
    <t>2024-11-09</t>
  </si>
  <si>
    <t>ORD0045</t>
  </si>
  <si>
    <t>2024-02-26</t>
  </si>
  <si>
    <t>ORD0046</t>
  </si>
  <si>
    <t>2024-02-20</t>
  </si>
  <si>
    <t>ORD0047</t>
  </si>
  <si>
    <t>2024-03-31</t>
  </si>
  <si>
    <t>ORD0048</t>
  </si>
  <si>
    <t>2024-05-20</t>
  </si>
  <si>
    <t>ORD0049</t>
  </si>
  <si>
    <t>ORD0050</t>
  </si>
  <si>
    <t>2024-06-27</t>
  </si>
  <si>
    <t>ORD0051</t>
  </si>
  <si>
    <t>2024-08-03</t>
  </si>
  <si>
    <t>ORD0052</t>
  </si>
  <si>
    <t>2024-05-14</t>
  </si>
  <si>
    <t>ORD0053</t>
  </si>
  <si>
    <t>2024-05-24</t>
  </si>
  <si>
    <t>ORD0054</t>
  </si>
  <si>
    <t>2024-11-23</t>
  </si>
  <si>
    <t>ORD0055</t>
  </si>
  <si>
    <t>2024-07-31</t>
  </si>
  <si>
    <t>ORD0056</t>
  </si>
  <si>
    <t>ORD0057</t>
  </si>
  <si>
    <t>2024-12-11</t>
  </si>
  <si>
    <t>ORD0058</t>
  </si>
  <si>
    <t>2024-09-13</t>
  </si>
  <si>
    <t>ORD0059</t>
  </si>
  <si>
    <t>ORD0060</t>
  </si>
  <si>
    <t>2024-10-30</t>
  </si>
  <si>
    <t>ORD0061</t>
  </si>
  <si>
    <t>2024-04-21</t>
  </si>
  <si>
    <t>ORD0062</t>
  </si>
  <si>
    <t>2024-11-08</t>
  </si>
  <si>
    <t>ORD0063</t>
  </si>
  <si>
    <t>2024-01-29</t>
  </si>
  <si>
    <t>ORD0064</t>
  </si>
  <si>
    <t>2024-05-12</t>
  </si>
  <si>
    <t>ORD0065</t>
  </si>
  <si>
    <t>2024-04-24</t>
  </si>
  <si>
    <t>ORD0066</t>
  </si>
  <si>
    <t>2024-04-17</t>
  </si>
  <si>
    <t>ORD0067</t>
  </si>
  <si>
    <t>2024-07-18</t>
  </si>
  <si>
    <t>ORD0068</t>
  </si>
  <si>
    <t>2024-03-05</t>
  </si>
  <si>
    <t>ORD0069</t>
  </si>
  <si>
    <t>2024-09-29</t>
  </si>
  <si>
    <t>ORD0070</t>
  </si>
  <si>
    <t>2024-08-31</t>
  </si>
  <si>
    <t>ORD0071</t>
  </si>
  <si>
    <t>2024-09-06</t>
  </si>
  <si>
    <t>ORD0072</t>
  </si>
  <si>
    <t>2024-03-14</t>
  </si>
  <si>
    <t>ORD0073</t>
  </si>
  <si>
    <t>2024-10-27</t>
  </si>
  <si>
    <t>ORD0074</t>
  </si>
  <si>
    <t>2024-06-04</t>
  </si>
  <si>
    <t>ORD0075</t>
  </si>
  <si>
    <t>2024-03-18</t>
  </si>
  <si>
    <t>ORD0076</t>
  </si>
  <si>
    <t>2024-12-25</t>
  </si>
  <si>
    <t>ORD0077</t>
  </si>
  <si>
    <t>2024-10-25</t>
  </si>
  <si>
    <t>ORD0078</t>
  </si>
  <si>
    <t>2024-01-20</t>
  </si>
  <si>
    <t>ORD0079</t>
  </si>
  <si>
    <t>2024-07-12</t>
  </si>
  <si>
    <t>ORD0080</t>
  </si>
  <si>
    <t>2024-02-25</t>
  </si>
  <si>
    <t>ORD0081</t>
  </si>
  <si>
    <t>2024-06-09</t>
  </si>
  <si>
    <t>ORD0082</t>
  </si>
  <si>
    <t>ORD0083</t>
  </si>
  <si>
    <t>2024-09-05</t>
  </si>
  <si>
    <t>ORD0084</t>
  </si>
  <si>
    <t>2024-05-28</t>
  </si>
  <si>
    <t>ORD0085</t>
  </si>
  <si>
    <t>2024-05-30</t>
  </si>
  <si>
    <t>ORD0086</t>
  </si>
  <si>
    <t>2024-01-15</t>
  </si>
  <si>
    <t>ORD0087</t>
  </si>
  <si>
    <t>2024-09-03</t>
  </si>
  <si>
    <t>ORD0088</t>
  </si>
  <si>
    <t>2024-12-18</t>
  </si>
  <si>
    <t>ORD0089</t>
  </si>
  <si>
    <t>2024-11-30</t>
  </si>
  <si>
    <t>ORD0090</t>
  </si>
  <si>
    <t>2024-08-01</t>
  </si>
  <si>
    <t>ORD0091</t>
  </si>
  <si>
    <t>ORD0092</t>
  </si>
  <si>
    <t>2024-06-08</t>
  </si>
  <si>
    <t>ORD0093</t>
  </si>
  <si>
    <t>2024-03-24</t>
  </si>
  <si>
    <t>ORD0094</t>
  </si>
  <si>
    <t>2024-11-05</t>
  </si>
  <si>
    <t>ORD0095</t>
  </si>
  <si>
    <t>2024-08-06</t>
  </si>
  <si>
    <t>ORD0096</t>
  </si>
  <si>
    <t>2024-02-10</t>
  </si>
  <si>
    <t>ORD0097</t>
  </si>
  <si>
    <t>2024-02-17</t>
  </si>
  <si>
    <t>ORD0098</t>
  </si>
  <si>
    <t>ORD0099</t>
  </si>
  <si>
    <t>ORD0100</t>
  </si>
  <si>
    <t>2024-05-16</t>
  </si>
  <si>
    <t>ORD0101</t>
  </si>
  <si>
    <t>2024-05-05</t>
  </si>
  <si>
    <t>ORD0102</t>
  </si>
  <si>
    <t>2024-09-19</t>
  </si>
  <si>
    <t>ORD0103</t>
  </si>
  <si>
    <t>2024-05-09</t>
  </si>
  <si>
    <t>ORD0104</t>
  </si>
  <si>
    <t>ORD0105</t>
  </si>
  <si>
    <t>2024-05-23</t>
  </si>
  <si>
    <t>ORD0106</t>
  </si>
  <si>
    <t>ORD0107</t>
  </si>
  <si>
    <t>2024-11-22</t>
  </si>
  <si>
    <t>ORD0108</t>
  </si>
  <si>
    <t>2024-05-17</t>
  </si>
  <si>
    <t>ORD0109</t>
  </si>
  <si>
    <t>2024-06-03</t>
  </si>
  <si>
    <t>ORD0110</t>
  </si>
  <si>
    <t>2024-09-16</t>
  </si>
  <si>
    <t>ORD0111</t>
  </si>
  <si>
    <t>ORD0112</t>
  </si>
  <si>
    <t>2024-03-10</t>
  </si>
  <si>
    <t>ORD0113</t>
  </si>
  <si>
    <t>2024-08-17</t>
  </si>
  <si>
    <t>ORD0114</t>
  </si>
  <si>
    <t>2024-02-11</t>
  </si>
  <si>
    <t>ORD0115</t>
  </si>
  <si>
    <t>2024-07-07</t>
  </si>
  <si>
    <t>ORD0116</t>
  </si>
  <si>
    <t>2024-12-05</t>
  </si>
  <si>
    <t>ORD0117</t>
  </si>
  <si>
    <t>ORD0118</t>
  </si>
  <si>
    <t>2024-03-15</t>
  </si>
  <si>
    <t>ORD0119</t>
  </si>
  <si>
    <t>2024-08-12</t>
  </si>
  <si>
    <t>ORD0120</t>
  </si>
  <si>
    <t>ORD0121</t>
  </si>
  <si>
    <t>2024-08-04</t>
  </si>
  <si>
    <t>ORD0122</t>
  </si>
  <si>
    <t>2024-05-10</t>
  </si>
  <si>
    <t>ORD0123</t>
  </si>
  <si>
    <t>2024-11-11</t>
  </si>
  <si>
    <t>ORD0124</t>
  </si>
  <si>
    <t>ORD0125</t>
  </si>
  <si>
    <t>ORD0126</t>
  </si>
  <si>
    <t>2024-04-29</t>
  </si>
  <si>
    <t>ORD0127</t>
  </si>
  <si>
    <t>2024-08-22</t>
  </si>
  <si>
    <t>ORD0128</t>
  </si>
  <si>
    <t>2024-03-26</t>
  </si>
  <si>
    <t>ORD0129</t>
  </si>
  <si>
    <t>2024-04-26</t>
  </si>
  <si>
    <t>ORD0130</t>
  </si>
  <si>
    <t>ORD0131</t>
  </si>
  <si>
    <t>2024-08-25</t>
  </si>
  <si>
    <t>ORD0132</t>
  </si>
  <si>
    <t>2024-03-27</t>
  </si>
  <si>
    <t>ORD0133</t>
  </si>
  <si>
    <t>2024-01-25</t>
  </si>
  <si>
    <t>ORD0134</t>
  </si>
  <si>
    <t>2024-11-20</t>
  </si>
  <si>
    <t>ORD0135</t>
  </si>
  <si>
    <t>2024-02-12</t>
  </si>
  <si>
    <t>ORD0136</t>
  </si>
  <si>
    <t>ORD0137</t>
  </si>
  <si>
    <t>2024-08-18</t>
  </si>
  <si>
    <t>ORD0138</t>
  </si>
  <si>
    <t>ORD0139</t>
  </si>
  <si>
    <t>ORD0140</t>
  </si>
  <si>
    <t>ORD0141</t>
  </si>
  <si>
    <t>2024-07-10</t>
  </si>
  <si>
    <t>ORD0142</t>
  </si>
  <si>
    <t>ORD0143</t>
  </si>
  <si>
    <t>2024-04-19</t>
  </si>
  <si>
    <t>ORD0144</t>
  </si>
  <si>
    <t>2024-05-15</t>
  </si>
  <si>
    <t>ORD0145</t>
  </si>
  <si>
    <t>ORD0146</t>
  </si>
  <si>
    <t>2024-11-17</t>
  </si>
  <si>
    <t>ORD0147</t>
  </si>
  <si>
    <t>2024-02-19</t>
  </si>
  <si>
    <t>ORD0148</t>
  </si>
  <si>
    <t>2024-12-09</t>
  </si>
  <si>
    <t>ORD0149</t>
  </si>
  <si>
    <t>2024-01-09</t>
  </si>
  <si>
    <t>ORD0150</t>
  </si>
  <si>
    <t>2024-10-05</t>
  </si>
  <si>
    <t>ORD0151</t>
  </si>
  <si>
    <t>2024-09-15</t>
  </si>
  <si>
    <t>ORD0152</t>
  </si>
  <si>
    <t>ORD0153</t>
  </si>
  <si>
    <t>ORD0154</t>
  </si>
  <si>
    <t>2024-03-12</t>
  </si>
  <si>
    <t>ORD0155</t>
  </si>
  <si>
    <t>2024-07-26</t>
  </si>
  <si>
    <t>ORD0156</t>
  </si>
  <si>
    <t>ORD0157</t>
  </si>
  <si>
    <t>ORD0158</t>
  </si>
  <si>
    <t>ORD0159</t>
  </si>
  <si>
    <t>2024-01-02</t>
  </si>
  <si>
    <t>ORD0160</t>
  </si>
  <si>
    <t>ORD0161</t>
  </si>
  <si>
    <t>2024-03-13</t>
  </si>
  <si>
    <t>ORD0162</t>
  </si>
  <si>
    <t>2024-07-14</t>
  </si>
  <si>
    <t>ORD0163</t>
  </si>
  <si>
    <t>2024-12-07</t>
  </si>
  <si>
    <t>ORD0164</t>
  </si>
  <si>
    <t>2024-04-11</t>
  </si>
  <si>
    <t>ORD0165</t>
  </si>
  <si>
    <t>2024-06-25</t>
  </si>
  <si>
    <t>ORD0166</t>
  </si>
  <si>
    <t>2024-05-06</t>
  </si>
  <si>
    <t>ORD0167</t>
  </si>
  <si>
    <t>2024-11-24</t>
  </si>
  <si>
    <t>ORD0168</t>
  </si>
  <si>
    <t>2024-01-14</t>
  </si>
  <si>
    <t>ORD0169</t>
  </si>
  <si>
    <t>2024-12-30</t>
  </si>
  <si>
    <t>ORD0170</t>
  </si>
  <si>
    <t>2024-07-17</t>
  </si>
  <si>
    <t>ORD0171</t>
  </si>
  <si>
    <t>ORD0172</t>
  </si>
  <si>
    <t>2024-06-29</t>
  </si>
  <si>
    <t>ORD0173</t>
  </si>
  <si>
    <t>ORD0174</t>
  </si>
  <si>
    <t>2024-04-25</t>
  </si>
  <si>
    <t>ORD0175</t>
  </si>
  <si>
    <t>ORD0176</t>
  </si>
  <si>
    <t>ORD0177</t>
  </si>
  <si>
    <t>2024-06-18</t>
  </si>
  <si>
    <t>ORD0178</t>
  </si>
  <si>
    <t>ORD0179</t>
  </si>
  <si>
    <t>ORD0180</t>
  </si>
  <si>
    <t>2024-04-06</t>
  </si>
  <si>
    <t>ORD0181</t>
  </si>
  <si>
    <t>ORD0182</t>
  </si>
  <si>
    <t>2024-05-21</t>
  </si>
  <si>
    <t>ORD0183</t>
  </si>
  <si>
    <t>ORD0184</t>
  </si>
  <si>
    <t>2024-11-13</t>
  </si>
  <si>
    <t>ORD0185</t>
  </si>
  <si>
    <t>2024-03-11</t>
  </si>
  <si>
    <t>ORD0186</t>
  </si>
  <si>
    <t>ORD0187</t>
  </si>
  <si>
    <t>2024-03-08</t>
  </si>
  <si>
    <t>ORD0188</t>
  </si>
  <si>
    <t>2024-10-04</t>
  </si>
  <si>
    <t>ORD0189</t>
  </si>
  <si>
    <t>ORD0190</t>
  </si>
  <si>
    <t>2024-08-30</t>
  </si>
  <si>
    <t>ORD0191</t>
  </si>
  <si>
    <t>2024-03-02</t>
  </si>
  <si>
    <t>ORD0192</t>
  </si>
  <si>
    <t>2024-06-16</t>
  </si>
  <si>
    <t>ORD0193</t>
  </si>
  <si>
    <t>2024-08-16</t>
  </si>
  <si>
    <t>ORD0194</t>
  </si>
  <si>
    <t>2024-01-17</t>
  </si>
  <si>
    <t>ORD0195</t>
  </si>
  <si>
    <t>ORD0196</t>
  </si>
  <si>
    <t>2024-11-25</t>
  </si>
  <si>
    <t>ORD0197</t>
  </si>
  <si>
    <t>2024-05-27</t>
  </si>
  <si>
    <t>ORD0198</t>
  </si>
  <si>
    <t>ORD0199</t>
  </si>
  <si>
    <t>2024-01-05</t>
  </si>
  <si>
    <t>ORD0200</t>
  </si>
  <si>
    <t>ORD0201</t>
  </si>
  <si>
    <t>2024-06-20</t>
  </si>
  <si>
    <t>ORD0202</t>
  </si>
  <si>
    <t>2024-04-04</t>
  </si>
  <si>
    <t>ORD0203</t>
  </si>
  <si>
    <t>2024-05-22</t>
  </si>
  <si>
    <t>ORD0204</t>
  </si>
  <si>
    <t>2024-09-10</t>
  </si>
  <si>
    <t>ORD0205</t>
  </si>
  <si>
    <t>ORD0206</t>
  </si>
  <si>
    <t>ORD0207</t>
  </si>
  <si>
    <t>2024-11-28</t>
  </si>
  <si>
    <t>ORD0208</t>
  </si>
  <si>
    <t>ORD0209</t>
  </si>
  <si>
    <t>ORD0210</t>
  </si>
  <si>
    <t>2024-12-16</t>
  </si>
  <si>
    <t>ORD0211</t>
  </si>
  <si>
    <t>2024-09-08</t>
  </si>
  <si>
    <t>ORD0212</t>
  </si>
  <si>
    <t>2024-06-02</t>
  </si>
  <si>
    <t>ORD0213</t>
  </si>
  <si>
    <t>2024-07-27</t>
  </si>
  <si>
    <t>ORD0214</t>
  </si>
  <si>
    <t>2024-10-03</t>
  </si>
  <si>
    <t>ORD0215</t>
  </si>
  <si>
    <t>ORD0216</t>
  </si>
  <si>
    <t>ORD0217</t>
  </si>
  <si>
    <t>2024-11-14</t>
  </si>
  <si>
    <t>ORD0218</t>
  </si>
  <si>
    <t>2024-09-11</t>
  </si>
  <si>
    <t>ORD0219</t>
  </si>
  <si>
    <t>ORD0220</t>
  </si>
  <si>
    <t>2024-02-06</t>
  </si>
  <si>
    <t>ORD0221</t>
  </si>
  <si>
    <t>2024-12-23</t>
  </si>
  <si>
    <t>ORD0222</t>
  </si>
  <si>
    <t>2024-06-26</t>
  </si>
  <si>
    <t>ORD0223</t>
  </si>
  <si>
    <t>2024-02-04</t>
  </si>
  <si>
    <t>ORD0224</t>
  </si>
  <si>
    <t>ORD0225</t>
  </si>
  <si>
    <t>ORD0226</t>
  </si>
  <si>
    <t>2024-10-11</t>
  </si>
  <si>
    <t>ORD0227</t>
  </si>
  <si>
    <t>2024-07-13</t>
  </si>
  <si>
    <t>ORD0228</t>
  </si>
  <si>
    <t>2024-08-20</t>
  </si>
  <si>
    <t>ORD0229</t>
  </si>
  <si>
    <t>2024-06-05</t>
  </si>
  <si>
    <t>ORD0230</t>
  </si>
  <si>
    <t>ORD0231</t>
  </si>
  <si>
    <t>ORD0232</t>
  </si>
  <si>
    <t>ORD0233</t>
  </si>
  <si>
    <t>2024-06-22</t>
  </si>
  <si>
    <t>ORD0234</t>
  </si>
  <si>
    <t>2024-08-05</t>
  </si>
  <si>
    <t>ORD0235</t>
  </si>
  <si>
    <t>2024-07-21</t>
  </si>
  <si>
    <t>ORD0236</t>
  </si>
  <si>
    <t>2024-11-12</t>
  </si>
  <si>
    <t>ORD0237</t>
  </si>
  <si>
    <t>ORD0238</t>
  </si>
  <si>
    <t>2024-07-02</t>
  </si>
  <si>
    <t>ORD0239</t>
  </si>
  <si>
    <t>2024-07-06</t>
  </si>
  <si>
    <t>ORD0240</t>
  </si>
  <si>
    <t>ORD0241</t>
  </si>
  <si>
    <t>ORD0242</t>
  </si>
  <si>
    <t>2024-01-01</t>
  </si>
  <si>
    <t>ORD0243</t>
  </si>
  <si>
    <t>2024-08-26</t>
  </si>
  <si>
    <t>ORD0244</t>
  </si>
  <si>
    <t>ORD0245</t>
  </si>
  <si>
    <t>2024-12-02</t>
  </si>
  <si>
    <t>ORD0246</t>
  </si>
  <si>
    <t>ORD0247</t>
  </si>
  <si>
    <t>ORD0248</t>
  </si>
  <si>
    <t>2024-11-10</t>
  </si>
  <si>
    <t>ORD0249</t>
  </si>
  <si>
    <t>ORD0250</t>
  </si>
  <si>
    <t>ORD0251</t>
  </si>
  <si>
    <t>2024-01-06</t>
  </si>
  <si>
    <t>ORD0252</t>
  </si>
  <si>
    <t>ORD0253</t>
  </si>
  <si>
    <t>2024-01-24</t>
  </si>
  <si>
    <t>ORD0254</t>
  </si>
  <si>
    <t>ORD0255</t>
  </si>
  <si>
    <t>ORD0256</t>
  </si>
  <si>
    <t>2024-08-15</t>
  </si>
  <si>
    <t>ORD0257</t>
  </si>
  <si>
    <t>ORD0258</t>
  </si>
  <si>
    <t>2024-08-21</t>
  </si>
  <si>
    <t>ORD0259</t>
  </si>
  <si>
    <t>2024-07-22</t>
  </si>
  <si>
    <t>ORD0260</t>
  </si>
  <si>
    <t>ORD0261</t>
  </si>
  <si>
    <t>2024-09-23</t>
  </si>
  <si>
    <t>ORD0262</t>
  </si>
  <si>
    <t>2024-09-20</t>
  </si>
  <si>
    <t>ORD0263</t>
  </si>
  <si>
    <t>ORD0264</t>
  </si>
  <si>
    <t>ORD0265</t>
  </si>
  <si>
    <t>2024-09-02</t>
  </si>
  <si>
    <t>ORD0266</t>
  </si>
  <si>
    <t>2024-02-16</t>
  </si>
  <si>
    <t>ORD0267</t>
  </si>
  <si>
    <t>ORD0268</t>
  </si>
  <si>
    <t>2024-01-07</t>
  </si>
  <si>
    <t>ORD0269</t>
  </si>
  <si>
    <t>ORD0270</t>
  </si>
  <si>
    <t>ORD0271</t>
  </si>
  <si>
    <t>2024-11-03</t>
  </si>
  <si>
    <t>ORD0272</t>
  </si>
  <si>
    <t>2024-10-22</t>
  </si>
  <si>
    <t>ORD0273</t>
  </si>
  <si>
    <t>ORD0274</t>
  </si>
  <si>
    <t>2024-01-31</t>
  </si>
  <si>
    <t>ORD0275</t>
  </si>
  <si>
    <t>2024-04-18</t>
  </si>
  <si>
    <t>ORD0276</t>
  </si>
  <si>
    <t>2024-09-14</t>
  </si>
  <si>
    <t>ORD0277</t>
  </si>
  <si>
    <t>ORD0278</t>
  </si>
  <si>
    <t>ORD0279</t>
  </si>
  <si>
    <t>ORD0280</t>
  </si>
  <si>
    <t>ORD0281</t>
  </si>
  <si>
    <t>2024-07-15</t>
  </si>
  <si>
    <t>ORD0282</t>
  </si>
  <si>
    <t>ORD0283</t>
  </si>
  <si>
    <t>ORD0284</t>
  </si>
  <si>
    <t>ORD0285</t>
  </si>
  <si>
    <t>ORD0286</t>
  </si>
  <si>
    <t>ORD0287</t>
  </si>
  <si>
    <t>ORD0288</t>
  </si>
  <si>
    <t>2024-05-26</t>
  </si>
  <si>
    <t>ORD0289</t>
  </si>
  <si>
    <t>ORD0290</t>
  </si>
  <si>
    <t>2024-08-23</t>
  </si>
  <si>
    <t>ORD0291</t>
  </si>
  <si>
    <t>ORD0292</t>
  </si>
  <si>
    <t>ORD0293</t>
  </si>
  <si>
    <t>ORD0294</t>
  </si>
  <si>
    <t>ORD0295</t>
  </si>
  <si>
    <t>ORD0296</t>
  </si>
  <si>
    <t>ORD0297</t>
  </si>
  <si>
    <t>2024-04-07</t>
  </si>
  <si>
    <t>ORD0298</t>
  </si>
  <si>
    <t>2024-07-28</t>
  </si>
  <si>
    <t>ORD0299</t>
  </si>
  <si>
    <t>ORD0300</t>
  </si>
  <si>
    <t>2024-09-18</t>
  </si>
  <si>
    <t>ORD0301</t>
  </si>
  <si>
    <t>ORD0302</t>
  </si>
  <si>
    <t>2024-03-07</t>
  </si>
  <si>
    <t>ORD0303</t>
  </si>
  <si>
    <t>ORD0304</t>
  </si>
  <si>
    <t>ORD0305</t>
  </si>
  <si>
    <t>2024-04-01</t>
  </si>
  <si>
    <t>ORD0306</t>
  </si>
  <si>
    <t>2024-03-22</t>
  </si>
  <si>
    <t>ORD0307</t>
  </si>
  <si>
    <t>ORD0308</t>
  </si>
  <si>
    <t>2024-01-08</t>
  </si>
  <si>
    <t>ORD0309</t>
  </si>
  <si>
    <t>ORD0310</t>
  </si>
  <si>
    <t>2024-10-17</t>
  </si>
  <si>
    <t>ORD0311</t>
  </si>
  <si>
    <t>ORD0312</t>
  </si>
  <si>
    <t>2024-01-22</t>
  </si>
  <si>
    <t>ORD0313</t>
  </si>
  <si>
    <t>2024-09-21</t>
  </si>
  <si>
    <t>ORD0314</t>
  </si>
  <si>
    <t>ORD0315</t>
  </si>
  <si>
    <t>ORD0316</t>
  </si>
  <si>
    <t>ORD0317</t>
  </si>
  <si>
    <t>ORD0318</t>
  </si>
  <si>
    <t>ORD0319</t>
  </si>
  <si>
    <t>2024-09-25</t>
  </si>
  <si>
    <t>ORD0320</t>
  </si>
  <si>
    <t>ORD0321</t>
  </si>
  <si>
    <t>ORD0322</t>
  </si>
  <si>
    <t>ORD0323</t>
  </si>
  <si>
    <t>2024-10-29</t>
  </si>
  <si>
    <t>ORD0324</t>
  </si>
  <si>
    <t>2024-07-23</t>
  </si>
  <si>
    <t>ORD0325</t>
  </si>
  <si>
    <t>ORD0326</t>
  </si>
  <si>
    <t>ORD0327</t>
  </si>
  <si>
    <t>2024-09-27</t>
  </si>
  <si>
    <t>ORD0328</t>
  </si>
  <si>
    <t>ORD0329</t>
  </si>
  <si>
    <t>ORD0330</t>
  </si>
  <si>
    <t>ORD0331</t>
  </si>
  <si>
    <t>2024-06-01</t>
  </si>
  <si>
    <t>ORD0332</t>
  </si>
  <si>
    <t>ORD0333</t>
  </si>
  <si>
    <t>ORD0334</t>
  </si>
  <si>
    <t>ORD0335</t>
  </si>
  <si>
    <t>2024-03-19</t>
  </si>
  <si>
    <t>ORD0336</t>
  </si>
  <si>
    <t>2024-09-12</t>
  </si>
  <si>
    <t>ORD0337</t>
  </si>
  <si>
    <t>ORD0338</t>
  </si>
  <si>
    <t>ORD0339</t>
  </si>
  <si>
    <t>2024-11-27</t>
  </si>
  <si>
    <t>ORD0340</t>
  </si>
  <si>
    <t>ORD0341</t>
  </si>
  <si>
    <t>ORD0342</t>
  </si>
  <si>
    <t>ORD0343</t>
  </si>
  <si>
    <t>ORD0344</t>
  </si>
  <si>
    <t>ORD0345</t>
  </si>
  <si>
    <t>ORD0346</t>
  </si>
  <si>
    <t>2024-03-17</t>
  </si>
  <si>
    <t>ORD0347</t>
  </si>
  <si>
    <t>ORD0348</t>
  </si>
  <si>
    <t>ORD0349</t>
  </si>
  <si>
    <t>2024-07-19</t>
  </si>
  <si>
    <t>ORD0350</t>
  </si>
  <si>
    <t>Row Labels</t>
  </si>
  <si>
    <t>Grand Total</t>
  </si>
  <si>
    <t>Sum of Revenue</t>
  </si>
  <si>
    <t>Sum of Profit</t>
  </si>
  <si>
    <t>Count of Order_ID</t>
  </si>
  <si>
    <t>Sum of Quantity</t>
  </si>
  <si>
    <t>Max of Discount_Amount</t>
  </si>
  <si>
    <t>Total Revenue</t>
  </si>
  <si>
    <t>Details for Sum of Profit</t>
  </si>
  <si>
    <t>Total Profit</t>
  </si>
  <si>
    <t xml:space="preserve">                                                                                                                            KPI DASHBOARD</t>
  </si>
  <si>
    <t>South region generates the highest revenue, but it does not deliver proportionally higher profit compared to other regions.</t>
  </si>
  <si>
    <t>High sales volume in South may be driven by aggressive discounting, which is impacting overall profitability.</t>
  </si>
  <si>
    <t>Electronics category contributes the largest share of revenue, while Furniture shows comparatively lower sales but steadier margins.</t>
  </si>
  <si>
    <t>Insight 1</t>
  </si>
  <si>
    <t>Insight:</t>
  </si>
  <si>
    <t>Business Implication:</t>
  </si>
  <si>
    <t>Insight 2</t>
  </si>
  <si>
    <t>Electronics drives growth but needs better pricing control, whereas Furniture can be positioned as a stable profit contributor.</t>
  </si>
  <si>
    <t>Insight 3</t>
  </si>
  <si>
    <t>Certain products with high sales quantity still show lower profit contribution.</t>
  </si>
  <si>
    <t>High-selling products should be reviewed for cost structure and discount levels to prevent hidden profit leakage.</t>
  </si>
  <si>
    <t>Insight 4</t>
  </si>
  <si>
    <t>Products with the highest discount percentages do not always contribute significantly to revenue.</t>
  </si>
  <si>
    <t>Discount strategies should be optimized, as excessive discounts are not always translating into higher sales performance.</t>
  </si>
  <si>
    <t>Insight 5</t>
  </si>
  <si>
    <t>West region shows lower revenue and fewer orders compared to other regions.</t>
  </si>
  <si>
    <t>There is potential to improve performance in the West region through targeted marketing or region-specific offers.</t>
  </si>
  <si>
    <t>Insight 6</t>
  </si>
  <si>
    <t>Order count varies across regions, but higher order volume does not always mean higher profitability.</t>
  </si>
  <si>
    <t>Focus should shift from volume-driven sales to value-driven sales by improving average order value and margins.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</si>
</sst>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4"/>
      <color theme="1"/>
      <name val="Calibri"/>
      <family val="2"/>
      <scheme val="minor"/>
    </font>
    <font>
      <b/>
      <i/>
      <sz val="14"/>
      <color theme="1"/>
      <name val="Calibri"/>
      <family val="2"/>
      <scheme val="minor"/>
    </font>
    <font>
      <b/>
      <i/>
      <sz val="16"/>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34998626667073579"/>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2" fontId="0" fillId="0" borderId="0" xfId="0" applyNumberFormat="1"/>
    <xf numFmtId="0" fontId="0" fillId="0" borderId="0" xfId="0" applyAlignment="1">
      <alignment horizontal="left" indent="1"/>
    </xf>
    <xf numFmtId="0" fontId="2" fillId="0" borderId="0" xfId="0" applyFont="1"/>
    <xf numFmtId="0" fontId="3" fillId="0" borderId="0" xfId="0" applyFont="1" applyAlignment="1">
      <alignment horizontal="center"/>
    </xf>
    <xf numFmtId="164" fontId="0" fillId="2" borderId="1" xfId="0" applyNumberFormat="1" applyFill="1" applyBorder="1" applyAlignment="1">
      <alignment horizontal="center"/>
    </xf>
    <xf numFmtId="165" fontId="0" fillId="2" borderId="1" xfId="0" applyNumberFormat="1" applyFill="1" applyBorder="1" applyAlignment="1">
      <alignment horizontal="center"/>
    </xf>
    <xf numFmtId="164" fontId="2" fillId="2" borderId="1" xfId="0" applyNumberFormat="1" applyFont="1" applyFill="1" applyBorder="1" applyAlignment="1">
      <alignment horizontal="center"/>
    </xf>
    <xf numFmtId="0" fontId="0" fillId="3" borderId="0" xfId="0" applyFill="1" applyAlignment="1">
      <alignment horizontal="center" wrapText="1"/>
    </xf>
    <xf numFmtId="0" fontId="0" fillId="0" borderId="0" xfId="0" applyAlignment="1">
      <alignment horizontal="center"/>
    </xf>
    <xf numFmtId="0" fontId="5" fillId="0" borderId="0" xfId="0" applyFont="1" applyAlignment="1">
      <alignment horizontal="center"/>
    </xf>
    <xf numFmtId="0" fontId="4" fillId="0" borderId="0" xfId="0" applyFont="1" applyAlignment="1">
      <alignment horizontal="center"/>
    </xf>
    <xf numFmtId="0" fontId="6" fillId="0" borderId="0" xfId="0" applyFont="1" applyAlignment="1">
      <alignment horizontal="center"/>
    </xf>
    <xf numFmtId="0" fontId="7" fillId="0" borderId="0" xfId="0" applyFont="1" applyAlignment="1">
      <alignment vertical="center"/>
    </xf>
  </cellXfs>
  <cellStyles count="2">
    <cellStyle name="Normal" xfId="0" builtinId="0"/>
    <cellStyle name="Percent" xfId="1" builtinId="5"/>
  </cellStyles>
  <dxfs count="1">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Analysis.xlsx]Revenue By region!PivotTable1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By Region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region'!$A$4:$A$8</c:f>
              <c:strCache>
                <c:ptCount val="4"/>
                <c:pt idx="0">
                  <c:v>East</c:v>
                </c:pt>
                <c:pt idx="1">
                  <c:v>North</c:v>
                </c:pt>
                <c:pt idx="2">
                  <c:v>South</c:v>
                </c:pt>
                <c:pt idx="3">
                  <c:v>West</c:v>
                </c:pt>
              </c:strCache>
            </c:strRef>
          </c:cat>
          <c:val>
            <c:numRef>
              <c:f>'Revenue By region'!$B$4:$B$8</c:f>
              <c:numCache>
                <c:formatCode>General</c:formatCode>
                <c:ptCount val="4"/>
                <c:pt idx="0">
                  <c:v>1239281</c:v>
                </c:pt>
                <c:pt idx="1">
                  <c:v>1332272</c:v>
                </c:pt>
                <c:pt idx="2">
                  <c:v>1522160</c:v>
                </c:pt>
                <c:pt idx="3">
                  <c:v>1105068</c:v>
                </c:pt>
              </c:numCache>
            </c:numRef>
          </c:val>
          <c:extLst>
            <c:ext xmlns:c16="http://schemas.microsoft.com/office/drawing/2014/chart" uri="{C3380CC4-5D6E-409C-BE32-E72D297353CC}">
              <c16:uniqueId val="{00000000-46D3-4429-8C01-D5EF217828D9}"/>
            </c:ext>
          </c:extLst>
        </c:ser>
        <c:dLbls>
          <c:dLblPos val="outEnd"/>
          <c:showLegendKey val="0"/>
          <c:showVal val="1"/>
          <c:showCatName val="0"/>
          <c:showSerName val="0"/>
          <c:showPercent val="0"/>
          <c:showBubbleSize val="0"/>
        </c:dLbls>
        <c:gapWidth val="100"/>
        <c:overlap val="-24"/>
        <c:axId val="1995652880"/>
        <c:axId val="1995661040"/>
      </c:barChart>
      <c:catAx>
        <c:axId val="19956528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661040"/>
        <c:crosses val="autoZero"/>
        <c:auto val="1"/>
        <c:lblAlgn val="ctr"/>
        <c:lblOffset val="100"/>
        <c:noMultiLvlLbl val="0"/>
      </c:catAx>
      <c:valAx>
        <c:axId val="19956610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65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Analysis.xlsx]Loss Making Products!PivotTable13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Products with High Discount Impact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'Loss Making Products'!$B$3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505-48DC-B1C1-9228D77AEB2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505-48DC-B1C1-9228D77AEB2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505-48DC-B1C1-9228D77AEB2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505-48DC-B1C1-9228D77AEB2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505-48DC-B1C1-9228D77AEB2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505-48DC-B1C1-9228D77AEB2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505-48DC-B1C1-9228D77AEB2C}"/>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505-48DC-B1C1-9228D77AEB2C}"/>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505-48DC-B1C1-9228D77AEB2C}"/>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505-48DC-B1C1-9228D77AEB2C}"/>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C505-48DC-B1C1-9228D77AEB2C}"/>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505-48DC-B1C1-9228D77AEB2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'Loss Making Products'!$A$4:$A$7</c:f>
              <c:strCache>
                <c:ptCount val="3"/>
                <c:pt idx="0">
                  <c:v>Apparel</c:v>
                </c:pt>
                <c:pt idx="1">
                  <c:v>Electronics</c:v>
                </c:pt>
                <c:pt idx="2">
                  <c:v>Furniture</c:v>
                </c:pt>
              </c:strCache>
            </c:strRef>
          </c:cat>
          <c:val>
            <c:numRef>
              <c:f>'Loss Making Products'!$B$4:$B$7</c:f>
              <c:numCache>
                <c:formatCode>General</c:formatCode>
                <c:ptCount val="3"/>
                <c:pt idx="0">
                  <c:v>5725.08</c:v>
                </c:pt>
                <c:pt idx="1">
                  <c:v>17899.52</c:v>
                </c:pt>
                <c:pt idx="2">
                  <c:v>12672</c:v>
                </c:pt>
              </c:numCache>
            </c:numRef>
          </c:val>
          <c:extLst>
            <c:ext xmlns:c16="http://schemas.microsoft.com/office/drawing/2014/chart" uri="{C3380CC4-5D6E-409C-BE32-E72D297353CC}">
              <c16:uniqueId val="{00000018-C505-48DC-B1C1-9228D77AEB2C}"/>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Analysis.xlsx]Product Sales!PivotTable12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Product-wise Sales Volume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'Product Sales'!$A$4:$A$19</c:f>
              <c:multiLvlStrCache>
                <c:ptCount val="12"/>
                <c:lvl>
                  <c:pt idx="0">
                    <c:v>Jacket</c:v>
                  </c:pt>
                  <c:pt idx="1">
                    <c:v>Jeans</c:v>
                  </c:pt>
                  <c:pt idx="2">
                    <c:v>Shoes</c:v>
                  </c:pt>
                  <c:pt idx="3">
                    <c:v>T-Shirt</c:v>
                  </c:pt>
                  <c:pt idx="4">
                    <c:v>Headphones</c:v>
                  </c:pt>
                  <c:pt idx="5">
                    <c:v>Laptop</c:v>
                  </c:pt>
                  <c:pt idx="6">
                    <c:v>Smartphone</c:v>
                  </c:pt>
                  <c:pt idx="7">
                    <c:v>Tablet</c:v>
                  </c:pt>
                  <c:pt idx="8">
                    <c:v>Cabinet</c:v>
                  </c:pt>
                  <c:pt idx="9">
                    <c:v>Chair</c:v>
                  </c:pt>
                  <c:pt idx="10">
                    <c:v>Sofa</c:v>
                  </c:pt>
                  <c:pt idx="11">
                    <c:v>Table</c:v>
                  </c:pt>
                </c:lvl>
                <c:lvl>
                  <c:pt idx="0">
                    <c:v>Apparel</c:v>
                  </c:pt>
                  <c:pt idx="4">
                    <c:v>Electronics</c:v>
                  </c:pt>
                  <c:pt idx="8">
                    <c:v>Furniture</c:v>
                  </c:pt>
                </c:lvl>
              </c:multiLvlStrCache>
            </c:multiLvlStrRef>
          </c:cat>
          <c:val>
            <c:numRef>
              <c:f>'Product Sales'!$B$4:$B$19</c:f>
              <c:numCache>
                <c:formatCode>General</c:formatCode>
                <c:ptCount val="12"/>
                <c:pt idx="0">
                  <c:v>151</c:v>
                </c:pt>
                <c:pt idx="1">
                  <c:v>174</c:v>
                </c:pt>
                <c:pt idx="2">
                  <c:v>125</c:v>
                </c:pt>
                <c:pt idx="3">
                  <c:v>183</c:v>
                </c:pt>
                <c:pt idx="4">
                  <c:v>172</c:v>
                </c:pt>
                <c:pt idx="5">
                  <c:v>146</c:v>
                </c:pt>
                <c:pt idx="6">
                  <c:v>186</c:v>
                </c:pt>
                <c:pt idx="7">
                  <c:v>150</c:v>
                </c:pt>
                <c:pt idx="8">
                  <c:v>125</c:v>
                </c:pt>
                <c:pt idx="9">
                  <c:v>191</c:v>
                </c:pt>
                <c:pt idx="10">
                  <c:v>172</c:v>
                </c:pt>
                <c:pt idx="11">
                  <c:v>157</c:v>
                </c:pt>
              </c:numCache>
            </c:numRef>
          </c:val>
          <c:extLst>
            <c:ext xmlns:c16="http://schemas.microsoft.com/office/drawing/2014/chart" uri="{C3380CC4-5D6E-409C-BE32-E72D297353CC}">
              <c16:uniqueId val="{00000000-7732-40D1-A98B-763025F0E5C5}"/>
            </c:ext>
          </c:extLst>
        </c:ser>
        <c:dLbls>
          <c:showLegendKey val="0"/>
          <c:showVal val="0"/>
          <c:showCatName val="0"/>
          <c:showSerName val="0"/>
          <c:showPercent val="0"/>
          <c:showBubbleSize val="0"/>
        </c:dLbls>
        <c:gapWidth val="100"/>
        <c:overlap val="-24"/>
        <c:axId val="275843840"/>
        <c:axId val="275844320"/>
      </c:barChart>
      <c:catAx>
        <c:axId val="27584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844320"/>
        <c:crosses val="autoZero"/>
        <c:auto val="1"/>
        <c:lblAlgn val="ctr"/>
        <c:lblOffset val="100"/>
        <c:noMultiLvlLbl val="0"/>
      </c:catAx>
      <c:valAx>
        <c:axId val="275844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84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Analysis.xlsx]Order Count by region!PivotTable6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Revenue &amp; Order Count by Region</a:t>
            </a:r>
            <a:endParaRPr lang="en-IN"/>
          </a:p>
        </c:rich>
      </c:tx>
      <c:layout>
        <c:manualLayout>
          <c:xMode val="edge"/>
          <c:yMode val="edge"/>
          <c:x val="0.21285807249300451"/>
          <c:y val="0.1101689211925432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'Order Count by region'!$B$3</c:f>
              <c:strCache>
                <c:ptCount val="1"/>
                <c:pt idx="0">
                  <c:v>Count of Order_ID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Count by region'!$A$4:$A$8</c:f>
              <c:strCache>
                <c:ptCount val="4"/>
                <c:pt idx="0">
                  <c:v>East</c:v>
                </c:pt>
                <c:pt idx="1">
                  <c:v>North</c:v>
                </c:pt>
                <c:pt idx="2">
                  <c:v>South</c:v>
                </c:pt>
                <c:pt idx="3">
                  <c:v>West</c:v>
                </c:pt>
              </c:strCache>
            </c:strRef>
          </c:cat>
          <c:val>
            <c:numRef>
              <c:f>'Order Count by region'!$B$4:$B$8</c:f>
              <c:numCache>
                <c:formatCode>0.00</c:formatCode>
                <c:ptCount val="4"/>
                <c:pt idx="0">
                  <c:v>89</c:v>
                </c:pt>
                <c:pt idx="1">
                  <c:v>95</c:v>
                </c:pt>
                <c:pt idx="2">
                  <c:v>90</c:v>
                </c:pt>
                <c:pt idx="3">
                  <c:v>76</c:v>
                </c:pt>
              </c:numCache>
            </c:numRef>
          </c:val>
          <c:extLst>
            <c:ext xmlns:c16="http://schemas.microsoft.com/office/drawing/2014/chart" uri="{C3380CC4-5D6E-409C-BE32-E72D297353CC}">
              <c16:uniqueId val="{00000000-8D7E-48F9-9F74-583D0C1B75D4}"/>
            </c:ext>
          </c:extLst>
        </c:ser>
        <c:ser>
          <c:idx val="1"/>
          <c:order val="1"/>
          <c:tx>
            <c:strRef>
              <c:f>'Order Count by region'!$C$3</c:f>
              <c:strCache>
                <c:ptCount val="1"/>
                <c:pt idx="0">
                  <c:v>Sum of 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Count by region'!$A$4:$A$8</c:f>
              <c:strCache>
                <c:ptCount val="4"/>
                <c:pt idx="0">
                  <c:v>East</c:v>
                </c:pt>
                <c:pt idx="1">
                  <c:v>North</c:v>
                </c:pt>
                <c:pt idx="2">
                  <c:v>South</c:v>
                </c:pt>
                <c:pt idx="3">
                  <c:v>West</c:v>
                </c:pt>
              </c:strCache>
            </c:strRef>
          </c:cat>
          <c:val>
            <c:numRef>
              <c:f>'Order Count by region'!$C$4:$C$8</c:f>
              <c:numCache>
                <c:formatCode>0.00</c:formatCode>
                <c:ptCount val="4"/>
                <c:pt idx="0">
                  <c:v>1239281</c:v>
                </c:pt>
                <c:pt idx="1">
                  <c:v>1332272</c:v>
                </c:pt>
                <c:pt idx="2">
                  <c:v>1522160</c:v>
                </c:pt>
                <c:pt idx="3">
                  <c:v>1105068</c:v>
                </c:pt>
              </c:numCache>
            </c:numRef>
          </c:val>
          <c:extLst>
            <c:ext xmlns:c16="http://schemas.microsoft.com/office/drawing/2014/chart" uri="{C3380CC4-5D6E-409C-BE32-E72D297353CC}">
              <c16:uniqueId val="{00000001-8D7E-48F9-9F74-583D0C1B75D4}"/>
            </c:ext>
          </c:extLst>
        </c:ser>
        <c:dLbls>
          <c:showLegendKey val="0"/>
          <c:showVal val="1"/>
          <c:showCatName val="0"/>
          <c:showSerName val="0"/>
          <c:showPercent val="0"/>
          <c:showBubbleSize val="0"/>
        </c:dLbls>
        <c:gapWidth val="150"/>
        <c:shape val="box"/>
        <c:axId val="281311312"/>
        <c:axId val="281308912"/>
        <c:axId val="0"/>
      </c:bar3DChart>
      <c:catAx>
        <c:axId val="28131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1308912"/>
        <c:crosses val="autoZero"/>
        <c:auto val="1"/>
        <c:lblAlgn val="ctr"/>
        <c:lblOffset val="100"/>
        <c:noMultiLvlLbl val="0"/>
      </c:catAx>
      <c:valAx>
        <c:axId val="281308912"/>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13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314325</xdr:colOff>
      <xdr:row>2</xdr:row>
      <xdr:rowOff>9525</xdr:rowOff>
    </xdr:from>
    <xdr:to>
      <xdr:col>5</xdr:col>
      <xdr:colOff>514350</xdr:colOff>
      <xdr:row>17</xdr:row>
      <xdr:rowOff>142876</xdr:rowOff>
    </xdr:to>
    <xdr:graphicFrame macro="">
      <xdr:nvGraphicFramePr>
        <xdr:cNvPr id="2" name="Chart 1">
          <a:extLst>
            <a:ext uri="{FF2B5EF4-FFF2-40B4-BE49-F238E27FC236}">
              <a16:creationId xmlns:a16="http://schemas.microsoft.com/office/drawing/2014/main" id="{EFB7F2DC-D2A3-42CB-8C6D-EAD614DD6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0</xdr:rowOff>
    </xdr:from>
    <xdr:to>
      <xdr:col>1</xdr:col>
      <xdr:colOff>314325</xdr:colOff>
      <xdr:row>8</xdr:row>
      <xdr:rowOff>123825</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D7C605E5-CA7A-3CE7-5887-E8C8560264C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466725"/>
              <a:ext cx="132397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18</xdr:row>
      <xdr:rowOff>19050</xdr:rowOff>
    </xdr:from>
    <xdr:to>
      <xdr:col>4</xdr:col>
      <xdr:colOff>885825</xdr:colOff>
      <xdr:row>34</xdr:row>
      <xdr:rowOff>161925</xdr:rowOff>
    </xdr:to>
    <xdr:graphicFrame macro="">
      <xdr:nvGraphicFramePr>
        <xdr:cNvPr id="6" name="Chart 5">
          <a:extLst>
            <a:ext uri="{FF2B5EF4-FFF2-40B4-BE49-F238E27FC236}">
              <a16:creationId xmlns:a16="http://schemas.microsoft.com/office/drawing/2014/main" id="{E4FB7ADA-223C-4AFF-B1B9-7B051829F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561975</xdr:colOff>
      <xdr:row>1</xdr:row>
      <xdr:rowOff>200023</xdr:rowOff>
    </xdr:from>
    <xdr:to>
      <xdr:col>12</xdr:col>
      <xdr:colOff>552450</xdr:colOff>
      <xdr:row>17</xdr:row>
      <xdr:rowOff>142874</xdr:rowOff>
    </xdr:to>
    <xdr:graphicFrame macro="">
      <xdr:nvGraphicFramePr>
        <xdr:cNvPr id="8" name="Chart 7">
          <a:extLst>
            <a:ext uri="{FF2B5EF4-FFF2-40B4-BE49-F238E27FC236}">
              <a16:creationId xmlns:a16="http://schemas.microsoft.com/office/drawing/2014/main" id="{DF626D4E-77CF-4B4F-80A1-7A98B2F96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542925</xdr:colOff>
      <xdr:row>2</xdr:row>
      <xdr:rowOff>1</xdr:rowOff>
    </xdr:from>
    <xdr:to>
      <xdr:col>15</xdr:col>
      <xdr:colOff>257175</xdr:colOff>
      <xdr:row>9</xdr:row>
      <xdr:rowOff>161926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83F64C6-7F97-5D6F-6B86-A996728D8A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29825" y="466726"/>
              <a:ext cx="15430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952500</xdr:colOff>
      <xdr:row>18</xdr:row>
      <xdr:rowOff>9525</xdr:rowOff>
    </xdr:from>
    <xdr:to>
      <xdr:col>11</xdr:col>
      <xdr:colOff>390525</xdr:colOff>
      <xdr:row>34</xdr:row>
      <xdr:rowOff>85725</xdr:rowOff>
    </xdr:to>
    <xdr:graphicFrame macro="">
      <xdr:nvGraphicFramePr>
        <xdr:cNvPr id="11" name="Chart 10">
          <a:extLst>
            <a:ext uri="{FF2B5EF4-FFF2-40B4-BE49-F238E27FC236}">
              <a16:creationId xmlns:a16="http://schemas.microsoft.com/office/drawing/2014/main" id="{2F79F49B-ABB1-4E6B-BFAD-9A7E5B87C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377190</xdr:colOff>
      <xdr:row>18</xdr:row>
      <xdr:rowOff>15240</xdr:rowOff>
    </xdr:from>
    <xdr:to>
      <xdr:col>14</xdr:col>
      <xdr:colOff>377190</xdr:colOff>
      <xdr:row>24</xdr:row>
      <xdr:rowOff>66675</xdr:rowOff>
    </xdr:to>
    <mc:AlternateContent xmlns:mc="http://schemas.openxmlformats.org/markup-compatibility/2006" xmlns:a14="http://schemas.microsoft.com/office/drawing/2010/main">
      <mc:Choice Requires="a14">
        <xdr:graphicFrame macro="">
          <xdr:nvGraphicFramePr>
            <xdr:cNvPr id="12" name="Product_Category 1">
              <a:extLst>
                <a:ext uri="{FF2B5EF4-FFF2-40B4-BE49-F238E27FC236}">
                  <a16:creationId xmlns:a16="http://schemas.microsoft.com/office/drawing/2014/main" id="{D038C9B2-D879-7128-647F-FAA033961AD7}"/>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9254490" y="3377565"/>
              <a:ext cx="1828800" cy="1137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371475</xdr:colOff>
      <xdr:row>24</xdr:row>
      <xdr:rowOff>57150</xdr:rowOff>
    </xdr:from>
    <xdr:to>
      <xdr:col>14</xdr:col>
      <xdr:colOff>371475</xdr:colOff>
      <xdr:row>34</xdr:row>
      <xdr:rowOff>123825</xdr:rowOff>
    </xdr:to>
    <mc:AlternateContent xmlns:mc="http://schemas.openxmlformats.org/markup-compatibility/2006" xmlns:a14="http://schemas.microsoft.com/office/drawing/2010/main">
      <mc:Choice Requires="a14">
        <xdr:graphicFrame macro="">
          <xdr:nvGraphicFramePr>
            <xdr:cNvPr id="13" name="Product_Name">
              <a:extLst>
                <a:ext uri="{FF2B5EF4-FFF2-40B4-BE49-F238E27FC236}">
                  <a16:creationId xmlns:a16="http://schemas.microsoft.com/office/drawing/2014/main" id="{3108D176-03A7-BF6B-74C7-D02B20C1306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248775" y="4505325"/>
              <a:ext cx="1828800"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YA" refreshedDate="46034.469288194443" createdVersion="8" refreshedVersion="8" minRefreshableVersion="3" recordCount="350" xr:uid="{7093BFC0-ECE1-450B-AEB9-799F6D41B9F8}">
  <cacheSource type="worksheet">
    <worksheetSource ref="A1:M351" sheet="Sales_Data"/>
  </cacheSource>
  <cacheFields count="14">
    <cacheField name="Order_ID" numFmtId="0">
      <sharedItems count="3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Order_Date" numFmtId="0">
      <sharedItems/>
    </cacheField>
    <cacheField name="Region" numFmtId="0">
      <sharedItems count="4">
        <s v="East"/>
        <s v="North"/>
        <s v="South"/>
        <s v="West"/>
      </sharedItems>
    </cacheField>
    <cacheField name="Product_Category" numFmtId="0">
      <sharedItems count="3">
        <s v="Electronics"/>
        <s v="Apparel"/>
        <s v="Furniture"/>
      </sharedItems>
    </cacheField>
    <cacheField name="Product_Name" numFmtId="0">
      <sharedItems count="12">
        <s v="Laptop"/>
        <s v="Shoes"/>
        <s v="Headphones"/>
        <s v="Chair"/>
        <s v="Cabinet"/>
        <s v="Jacket"/>
        <s v="Smartphone"/>
        <s v="T-Shirt"/>
        <s v="Table"/>
        <s v="Sofa"/>
        <s v="Jeans"/>
        <s v="Tablet"/>
      </sharedItems>
    </cacheField>
    <cacheField name="Unit_Price" numFmtId="0">
      <sharedItems containsSemiMixedTypes="0" containsString="0" containsNumber="1" containsInteger="1" minValue="514" maxValue="5888"/>
    </cacheField>
    <cacheField name="Cost_Price" numFmtId="0">
      <sharedItems containsSemiMixedTypes="0" containsString="0" containsNumber="1" minValue="307.58999999999997" maxValue="4882.59"/>
    </cacheField>
    <cacheField name="Quantity" numFmtId="0">
      <sharedItems containsSemiMixedTypes="0" containsString="0" containsNumber="1" containsInteger="1" minValue="1" maxValue="10" count="10">
        <n v="5"/>
        <n v="9"/>
        <n v="4"/>
        <n v="6"/>
        <n v="10"/>
        <n v="2"/>
        <n v="8"/>
        <n v="7"/>
        <n v="3"/>
        <n v="1"/>
      </sharedItems>
    </cacheField>
    <cacheField name="Discount_Percent" numFmtId="0">
      <sharedItems containsMixedTypes="1" containsNumber="1" minValue="0" maxValue="0.4" count="81">
        <n v="0.18"/>
        <n v="0.17"/>
        <n v="0.28999999999999998"/>
        <n v="0.14000000000000001"/>
        <n v="0.23"/>
        <n v="0.37"/>
        <n v="0.1"/>
        <n v="0.01"/>
        <n v="0.19"/>
        <n v="0.2"/>
        <n v="0.35"/>
        <n v="0"/>
        <n v="0.24"/>
        <n v="0.08"/>
        <n v="7.0000000000000007E-2"/>
        <n v="0.09"/>
        <n v="0.12"/>
        <n v="0.15"/>
        <n v="0.03"/>
        <n v="0.3"/>
        <n v="0.13"/>
        <n v="0.02"/>
        <n v="0.39"/>
        <n v="0.22"/>
        <n v="0.21"/>
        <n v="0.06"/>
        <n v="0.36"/>
        <n v="0.11"/>
        <n v="0.4"/>
        <n v="0.31"/>
        <n v="0.16"/>
        <n v="0.28000000000000003"/>
        <n v="0.33"/>
        <n v="0.26"/>
        <n v="0.25"/>
        <n v="0.05"/>
        <n v="0.38"/>
        <n v="0.04"/>
        <n v="0.32"/>
        <n v="0.34"/>
        <n v="0.27"/>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 v="Formula35" f="1"/>
        <s v="Formula36" f="1"/>
        <s v="Formula37" f="1"/>
        <s v="Formula38" f="1"/>
        <s v="Formula39" f="1"/>
        <s v="Formula40" f="1"/>
      </sharedItems>
    </cacheField>
    <cacheField name="Revenue" numFmtId="0">
      <sharedItems containsSemiMixedTypes="0" containsString="0" containsNumber="1" containsInteger="1" minValue="627" maxValue="55340"/>
    </cacheField>
    <cacheField name="Discount_Amount" numFmtId="0">
      <sharedItems containsSemiMixedTypes="0" containsString="0" containsNumber="1" minValue="0" maxValue="17899.52"/>
    </cacheField>
    <cacheField name="Profit" numFmtId="0">
      <sharedItems containsSemiMixedTypes="0" containsString="0" containsNumber="1" minValue="-5051.07" maxValue="16345.8"/>
    </cacheField>
    <cacheField name="Profit_Margin_Percent" numFmtId="0">
      <sharedItems containsSemiMixedTypes="0" containsString="0" containsNumber="1" minValue="-19.993943712148198" maxValue="43.674410540915396"/>
    </cacheField>
    <cacheField name="Average Order VAlue" numFmtId="0" formula="Revenue /Order_ID" databaseField="0"/>
  </cacheFields>
  <calculatedItems count="40">
    <calculatedItem>
      <pivotArea cacheIndex="1" outline="0" fieldPosition="0">
        <references count="1">
          <reference field="8" count="1">
            <x v="41"/>
          </reference>
        </references>
      </pivotArea>
    </calculatedItem>
    <calculatedItem>
      <pivotArea cacheIndex="1" outline="0" fieldPosition="0">
        <references count="1">
          <reference field="8" count="1">
            <x v="42"/>
          </reference>
        </references>
      </pivotArea>
    </calculatedItem>
    <calculatedItem>
      <pivotArea cacheIndex="1" outline="0" fieldPosition="0">
        <references count="1">
          <reference field="8" count="1">
            <x v="43"/>
          </reference>
        </references>
      </pivotArea>
    </calculatedItem>
    <calculatedItem>
      <pivotArea cacheIndex="1" outline="0" fieldPosition="0">
        <references count="1">
          <reference field="8" count="1">
            <x v="44"/>
          </reference>
        </references>
      </pivotArea>
    </calculatedItem>
    <calculatedItem>
      <pivotArea cacheIndex="1" outline="0" fieldPosition="0">
        <references count="1">
          <reference field="8" count="1">
            <x v="45"/>
          </reference>
        </references>
      </pivotArea>
    </calculatedItem>
    <calculatedItem>
      <pivotArea cacheIndex="1" outline="0" fieldPosition="0">
        <references count="1">
          <reference field="8" count="1">
            <x v="46"/>
          </reference>
        </references>
      </pivotArea>
    </calculatedItem>
    <calculatedItem>
      <pivotArea cacheIndex="1" outline="0" fieldPosition="0">
        <references count="1">
          <reference field="8" count="1">
            <x v="47"/>
          </reference>
        </references>
      </pivotArea>
    </calculatedItem>
    <calculatedItem>
      <pivotArea cacheIndex="1" outline="0" fieldPosition="0">
        <references count="1">
          <reference field="8" count="1">
            <x v="48"/>
          </reference>
        </references>
      </pivotArea>
    </calculatedItem>
    <calculatedItem>
      <pivotArea cacheIndex="1" outline="0" fieldPosition="0">
        <references count="1">
          <reference field="8" count="1">
            <x v="49"/>
          </reference>
        </references>
      </pivotArea>
    </calculatedItem>
    <calculatedItem>
      <pivotArea cacheIndex="1" outline="0" fieldPosition="0">
        <references count="1">
          <reference field="8" count="1">
            <x v="50"/>
          </reference>
        </references>
      </pivotArea>
    </calculatedItem>
    <calculatedItem>
      <pivotArea cacheIndex="1" outline="0" fieldPosition="0">
        <references count="1">
          <reference field="8" count="1">
            <x v="51"/>
          </reference>
        </references>
      </pivotArea>
    </calculatedItem>
    <calculatedItem>
      <pivotArea cacheIndex="1" outline="0" fieldPosition="0">
        <references count="1">
          <reference field="8" count="1">
            <x v="52"/>
          </reference>
        </references>
      </pivotArea>
    </calculatedItem>
    <calculatedItem>
      <pivotArea cacheIndex="1" outline="0" fieldPosition="0">
        <references count="1">
          <reference field="8" count="1">
            <x v="53"/>
          </reference>
        </references>
      </pivotArea>
    </calculatedItem>
    <calculatedItem>
      <pivotArea cacheIndex="1" outline="0" fieldPosition="0">
        <references count="1">
          <reference field="8" count="1">
            <x v="54"/>
          </reference>
        </references>
      </pivotArea>
    </calculatedItem>
    <calculatedItem>
      <pivotArea cacheIndex="1" outline="0" fieldPosition="0">
        <references count="1">
          <reference field="8" count="1">
            <x v="55"/>
          </reference>
        </references>
      </pivotArea>
    </calculatedItem>
    <calculatedItem>
      <pivotArea cacheIndex="1" outline="0" fieldPosition="0">
        <references count="1">
          <reference field="8" count="1">
            <x v="56"/>
          </reference>
        </references>
      </pivotArea>
    </calculatedItem>
    <calculatedItem>
      <pivotArea cacheIndex="1" outline="0" fieldPosition="0">
        <references count="1">
          <reference field="8" count="1">
            <x v="57"/>
          </reference>
        </references>
      </pivotArea>
    </calculatedItem>
    <calculatedItem>
      <pivotArea cacheIndex="1" outline="0" fieldPosition="0">
        <references count="1">
          <reference field="8" count="1">
            <x v="58"/>
          </reference>
        </references>
      </pivotArea>
    </calculatedItem>
    <calculatedItem>
      <pivotArea cacheIndex="1" outline="0" fieldPosition="0">
        <references count="1">
          <reference field="8" count="1">
            <x v="59"/>
          </reference>
        </references>
      </pivotArea>
    </calculatedItem>
    <calculatedItem>
      <pivotArea cacheIndex="1" outline="0" fieldPosition="0">
        <references count="1">
          <reference field="8" count="1">
            <x v="60"/>
          </reference>
        </references>
      </pivotArea>
    </calculatedItem>
    <calculatedItem>
      <pivotArea cacheIndex="1" outline="0" fieldPosition="0">
        <references count="1">
          <reference field="8" count="1">
            <x v="61"/>
          </reference>
        </references>
      </pivotArea>
    </calculatedItem>
    <calculatedItem>
      <pivotArea cacheIndex="1" outline="0" fieldPosition="0">
        <references count="1">
          <reference field="8" count="1">
            <x v="62"/>
          </reference>
        </references>
      </pivotArea>
    </calculatedItem>
    <calculatedItem>
      <pivotArea cacheIndex="1" outline="0" fieldPosition="0">
        <references count="1">
          <reference field="8" count="1">
            <x v="63"/>
          </reference>
        </references>
      </pivotArea>
    </calculatedItem>
    <calculatedItem>
      <pivotArea cacheIndex="1" outline="0" fieldPosition="0">
        <references count="1">
          <reference field="8" count="1">
            <x v="64"/>
          </reference>
        </references>
      </pivotArea>
    </calculatedItem>
    <calculatedItem>
      <pivotArea cacheIndex="1" outline="0" fieldPosition="0">
        <references count="1">
          <reference field="8" count="1">
            <x v="65"/>
          </reference>
        </references>
      </pivotArea>
    </calculatedItem>
    <calculatedItem>
      <pivotArea cacheIndex="1" outline="0" fieldPosition="0">
        <references count="1">
          <reference field="8" count="1">
            <x v="66"/>
          </reference>
        </references>
      </pivotArea>
    </calculatedItem>
    <calculatedItem>
      <pivotArea cacheIndex="1" outline="0" fieldPosition="0">
        <references count="1">
          <reference field="8" count="1">
            <x v="67"/>
          </reference>
        </references>
      </pivotArea>
    </calculatedItem>
    <calculatedItem>
      <pivotArea cacheIndex="1" outline="0" fieldPosition="0">
        <references count="1">
          <reference field="8" count="1">
            <x v="68"/>
          </reference>
        </references>
      </pivotArea>
    </calculatedItem>
    <calculatedItem>
      <pivotArea cacheIndex="1" outline="0" fieldPosition="0">
        <references count="1">
          <reference field="8" count="1">
            <x v="69"/>
          </reference>
        </references>
      </pivotArea>
    </calculatedItem>
    <calculatedItem>
      <pivotArea cacheIndex="1" outline="0" fieldPosition="0">
        <references count="1">
          <reference field="8" count="1">
            <x v="70"/>
          </reference>
        </references>
      </pivotArea>
    </calculatedItem>
    <calculatedItem>
      <pivotArea cacheIndex="1" outline="0" fieldPosition="0">
        <references count="1">
          <reference field="8" count="1">
            <x v="71"/>
          </reference>
        </references>
      </pivotArea>
    </calculatedItem>
    <calculatedItem>
      <pivotArea cacheIndex="1" outline="0" fieldPosition="0">
        <references count="1">
          <reference field="8" count="1">
            <x v="72"/>
          </reference>
        </references>
      </pivotArea>
    </calculatedItem>
    <calculatedItem>
      <pivotArea cacheIndex="1" outline="0" fieldPosition="0">
        <references count="1">
          <reference field="8" count="1">
            <x v="73"/>
          </reference>
        </references>
      </pivotArea>
    </calculatedItem>
    <calculatedItem>
      <pivotArea cacheIndex="1" outline="0" fieldPosition="0">
        <references count="1">
          <reference field="8" count="1">
            <x v="74"/>
          </reference>
        </references>
      </pivotArea>
    </calculatedItem>
    <calculatedItem>
      <pivotArea cacheIndex="1" outline="0" fieldPosition="0">
        <references count="1">
          <reference field="8" count="1">
            <x v="75"/>
          </reference>
        </references>
      </pivotArea>
    </calculatedItem>
    <calculatedItem>
      <pivotArea cacheIndex="1" outline="0" fieldPosition="0">
        <references count="1">
          <reference field="8" count="1">
            <x v="76"/>
          </reference>
        </references>
      </pivotArea>
    </calculatedItem>
    <calculatedItem>
      <pivotArea cacheIndex="1" outline="0" fieldPosition="0">
        <references count="1">
          <reference field="8" count="1">
            <x v="77"/>
          </reference>
        </references>
      </pivotArea>
    </calculatedItem>
    <calculatedItem>
      <pivotArea cacheIndex="1" outline="0" fieldPosition="0">
        <references count="1">
          <reference field="8" count="1">
            <x v="78"/>
          </reference>
        </references>
      </pivotArea>
    </calculatedItem>
    <calculatedItem>
      <pivotArea cacheIndex="1" outline="0" fieldPosition="0">
        <references count="1">
          <reference field="8" count="1">
            <x v="79"/>
          </reference>
        </references>
      </pivotArea>
    </calculatedItem>
    <calculatedItem>
      <pivotArea cacheIndex="1" outline="0" fieldPosition="0">
        <references count="1">
          <reference field="8" count="1">
            <x v="80"/>
          </reference>
        </references>
      </pivotArea>
    </calculatedItem>
  </calculatedItems>
  <extLst>
    <ext xmlns:x14="http://schemas.microsoft.com/office/spreadsheetml/2009/9/main" uri="{725AE2AE-9491-48be-B2B4-4EB974FC3084}">
      <x14:pivotCacheDefinition pivotCacheId="605272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s v="2024-08-28"/>
    <x v="0"/>
    <x v="0"/>
    <x v="0"/>
    <n v="5772"/>
    <n v="4716.21"/>
    <x v="0"/>
    <x v="0"/>
    <n v="28860"/>
    <n v="5194.8"/>
    <n v="84.150000000000546"/>
    <n v="0.29158004158004347"/>
  </r>
  <r>
    <x v="1"/>
    <s v="2024-07-24"/>
    <x v="1"/>
    <x v="1"/>
    <x v="1"/>
    <n v="673"/>
    <n v="466.11"/>
    <x v="1"/>
    <x v="1"/>
    <n v="6057"/>
    <n v="1029.69"/>
    <n v="832.32000000000016"/>
    <n v="13.741456166419022"/>
  </r>
  <r>
    <x v="2"/>
    <s v="2024-09-22"/>
    <x v="2"/>
    <x v="0"/>
    <x v="2"/>
    <n v="3545"/>
    <n v="2762.16"/>
    <x v="2"/>
    <x v="2"/>
    <n v="14180"/>
    <n v="4112.2"/>
    <n v="-980.83999999999924"/>
    <n v="-6.9170662905500651"/>
  </r>
  <r>
    <x v="3"/>
    <s v="2024-02-08"/>
    <x v="3"/>
    <x v="2"/>
    <x v="3"/>
    <n v="3769"/>
    <n v="2214.0300000000002"/>
    <x v="3"/>
    <x v="3"/>
    <n v="22614"/>
    <n v="3165.9600000000005"/>
    <n v="6163.8599999999988"/>
    <n v="27.256832050941888"/>
  </r>
  <r>
    <x v="4"/>
    <s v="2024-05-01"/>
    <x v="1"/>
    <x v="2"/>
    <x v="4"/>
    <n v="2537"/>
    <n v="1711.58"/>
    <x v="4"/>
    <x v="4"/>
    <n v="25370"/>
    <n v="5835.1"/>
    <n v="2419.1000000000004"/>
    <n v="9.5352778872684283"/>
  </r>
  <r>
    <x v="5"/>
    <s v="2024-05-04"/>
    <x v="2"/>
    <x v="1"/>
    <x v="5"/>
    <n v="1091"/>
    <n v="838.06"/>
    <x v="3"/>
    <x v="5"/>
    <n v="6546"/>
    <n v="2422.02"/>
    <n v="-904.37999999999965"/>
    <n v="-13.815765352887254"/>
  </r>
  <r>
    <x v="6"/>
    <s v="2024-12-29"/>
    <x v="3"/>
    <x v="0"/>
    <x v="6"/>
    <n v="2526"/>
    <n v="2041.92"/>
    <x v="0"/>
    <x v="6"/>
    <n v="12630"/>
    <n v="1263"/>
    <n v="1157.3999999999996"/>
    <n v="9.1638954869358642"/>
  </r>
  <r>
    <x v="7"/>
    <s v="2024-02-23"/>
    <x v="1"/>
    <x v="0"/>
    <x v="6"/>
    <n v="2492"/>
    <n v="1409.56"/>
    <x v="5"/>
    <x v="7"/>
    <n v="4984"/>
    <n v="49.84"/>
    <n v="2115.04"/>
    <n v="42.436597110754413"/>
  </r>
  <r>
    <x v="8"/>
    <s v="2024-02-09"/>
    <x v="1"/>
    <x v="0"/>
    <x v="0"/>
    <n v="3077"/>
    <n v="2113.63"/>
    <x v="6"/>
    <x v="8"/>
    <n v="24616"/>
    <n v="4677.04"/>
    <n v="3029.9199999999992"/>
    <n v="12.30874228144296"/>
  </r>
  <r>
    <x v="9"/>
    <s v="2024-10-13"/>
    <x v="0"/>
    <x v="1"/>
    <x v="7"/>
    <n v="2121"/>
    <n v="1665.78"/>
    <x v="1"/>
    <x v="8"/>
    <n v="19089"/>
    <n v="3626.91"/>
    <n v="470.06999999999971"/>
    <n v="2.4625176803394608"/>
  </r>
  <r>
    <x v="10"/>
    <s v="2024-01-10"/>
    <x v="0"/>
    <x v="0"/>
    <x v="6"/>
    <n v="3153"/>
    <n v="1878.18"/>
    <x v="1"/>
    <x v="0"/>
    <n v="28377"/>
    <n v="5107.8599999999997"/>
    <n v="6365.5200000000013"/>
    <n v="22.431969552806855"/>
  </r>
  <r>
    <x v="11"/>
    <s v="2024-01-26"/>
    <x v="1"/>
    <x v="0"/>
    <x v="0"/>
    <n v="2731"/>
    <n v="2116.7199999999998"/>
    <x v="4"/>
    <x v="7"/>
    <n v="27310"/>
    <n v="273.10000000000002"/>
    <n v="5869.7000000000025"/>
    <n v="21.49285975833029"/>
  </r>
  <r>
    <x v="12"/>
    <s v="2024-12-08"/>
    <x v="1"/>
    <x v="1"/>
    <x v="7"/>
    <n v="1709"/>
    <n v="1048.79"/>
    <x v="7"/>
    <x v="9"/>
    <n v="11963"/>
    <n v="2392.6"/>
    <n v="2228.8700000000003"/>
    <n v="18.631363370392044"/>
  </r>
  <r>
    <x v="13"/>
    <s v="2024-08-14"/>
    <x v="2"/>
    <x v="2"/>
    <x v="8"/>
    <n v="1677"/>
    <n v="1012.67"/>
    <x v="0"/>
    <x v="10"/>
    <n v="8385"/>
    <n v="2934.75"/>
    <n v="386.90000000000055"/>
    <n v="4.6141920095408535"/>
  </r>
  <r>
    <x v="14"/>
    <s v="2024-12-21"/>
    <x v="3"/>
    <x v="2"/>
    <x v="9"/>
    <n v="2394"/>
    <n v="2017.7"/>
    <x v="0"/>
    <x v="11"/>
    <n v="11970"/>
    <n v="0"/>
    <n v="1881.5"/>
    <n v="15.718462823725982"/>
  </r>
  <r>
    <x v="15"/>
    <s v="2024-05-29"/>
    <x v="1"/>
    <x v="1"/>
    <x v="10"/>
    <n v="734"/>
    <n v="608.34"/>
    <x v="2"/>
    <x v="0"/>
    <n v="2936"/>
    <n v="528.48"/>
    <n v="-25.840000000000146"/>
    <n v="-0.88010899182561808"/>
  </r>
  <r>
    <x v="16"/>
    <s v="2024-05-19"/>
    <x v="3"/>
    <x v="2"/>
    <x v="3"/>
    <n v="2696"/>
    <n v="1834.95"/>
    <x v="2"/>
    <x v="12"/>
    <n v="10784"/>
    <n v="2588.16"/>
    <n v="856.04"/>
    <n v="7.9380563798219574"/>
  </r>
  <r>
    <x v="17"/>
    <s v="2024-06-28"/>
    <x v="1"/>
    <x v="1"/>
    <x v="10"/>
    <n v="557"/>
    <n v="368.92"/>
    <x v="8"/>
    <x v="13"/>
    <n v="1671"/>
    <n v="133.68"/>
    <n v="430.56"/>
    <n v="25.766606822262116"/>
  </r>
  <r>
    <x v="18"/>
    <s v="2024-10-09"/>
    <x v="0"/>
    <x v="0"/>
    <x v="2"/>
    <n v="5278"/>
    <n v="3934.5"/>
    <x v="9"/>
    <x v="14"/>
    <n v="5278"/>
    <n v="369.46000000000004"/>
    <n v="974.04"/>
    <n v="18.454717696097006"/>
  </r>
  <r>
    <x v="19"/>
    <s v="2024-06-13"/>
    <x v="1"/>
    <x v="0"/>
    <x v="2"/>
    <n v="4432"/>
    <n v="3511.48"/>
    <x v="5"/>
    <x v="15"/>
    <n v="8864"/>
    <n v="797.76"/>
    <n v="1043.28"/>
    <n v="11.769855595667869"/>
  </r>
  <r>
    <x v="20"/>
    <s v="2024-04-22"/>
    <x v="0"/>
    <x v="1"/>
    <x v="10"/>
    <n v="1838"/>
    <n v="1248.6300000000001"/>
    <x v="3"/>
    <x v="6"/>
    <n v="11028"/>
    <n v="1102.8"/>
    <n v="2433.4199999999992"/>
    <n v="22.065832426550593"/>
  </r>
  <r>
    <x v="21"/>
    <s v="2024-01-12"/>
    <x v="1"/>
    <x v="0"/>
    <x v="6"/>
    <n v="3134"/>
    <n v="2294.46"/>
    <x v="8"/>
    <x v="16"/>
    <n v="9402"/>
    <n v="1128.24"/>
    <n v="1390.3799999999999"/>
    <n v="14.788130185067006"/>
  </r>
  <r>
    <x v="22"/>
    <s v="2024-05-08"/>
    <x v="0"/>
    <x v="0"/>
    <x v="6"/>
    <n v="2630"/>
    <n v="1839.66"/>
    <x v="3"/>
    <x v="3"/>
    <n v="15780"/>
    <n v="2209.2000000000003"/>
    <n v="2532.8399999999988"/>
    <n v="16.050950570342199"/>
  </r>
  <r>
    <x v="23"/>
    <s v="2024-04-27"/>
    <x v="1"/>
    <x v="1"/>
    <x v="1"/>
    <n v="1836"/>
    <n v="1028.5899999999999"/>
    <x v="1"/>
    <x v="17"/>
    <n v="16524"/>
    <n v="2478.6"/>
    <n v="4788.09"/>
    <n v="28.976579520697172"/>
  </r>
  <r>
    <x v="24"/>
    <s v="2024-10-01"/>
    <x v="3"/>
    <x v="2"/>
    <x v="3"/>
    <n v="1867"/>
    <n v="1440.32"/>
    <x v="4"/>
    <x v="3"/>
    <n v="18670"/>
    <n v="2613.8000000000002"/>
    <n v="1653.0000000000009"/>
    <n v="8.8537761114086813"/>
  </r>
  <r>
    <x v="25"/>
    <s v="2024-06-13"/>
    <x v="0"/>
    <x v="0"/>
    <x v="0"/>
    <n v="3764"/>
    <n v="2700.45"/>
    <x v="0"/>
    <x v="18"/>
    <n v="18820"/>
    <n v="564.6"/>
    <n v="4753.1499999999996"/>
    <n v="25.255844845908605"/>
  </r>
  <r>
    <x v="26"/>
    <s v="2024-10-10"/>
    <x v="0"/>
    <x v="2"/>
    <x v="4"/>
    <n v="2571"/>
    <n v="1532.46"/>
    <x v="7"/>
    <x v="7"/>
    <n v="17997"/>
    <n v="179.97"/>
    <n v="7089.8099999999986"/>
    <n v="39.394399066511077"/>
  </r>
  <r>
    <x v="27"/>
    <s v="2024-08-14"/>
    <x v="1"/>
    <x v="0"/>
    <x v="11"/>
    <n v="3988"/>
    <n v="2493.64"/>
    <x v="7"/>
    <x v="0"/>
    <n v="27916"/>
    <n v="5024.88"/>
    <n v="5435.64"/>
    <n v="19.471414242728187"/>
  </r>
  <r>
    <x v="28"/>
    <s v="2024-03-06"/>
    <x v="3"/>
    <x v="2"/>
    <x v="8"/>
    <n v="2455"/>
    <n v="1668.38"/>
    <x v="7"/>
    <x v="6"/>
    <n v="17185"/>
    <n v="1718.5"/>
    <n v="3787.84"/>
    <n v="22.04154786150713"/>
  </r>
  <r>
    <x v="29"/>
    <s v="2024-03-23"/>
    <x v="1"/>
    <x v="2"/>
    <x v="9"/>
    <n v="2157"/>
    <n v="1832.41"/>
    <x v="9"/>
    <x v="1"/>
    <n v="2157"/>
    <n v="366.69000000000005"/>
    <n v="-42.100000000000136"/>
    <n v="-1.9517848864163252"/>
  </r>
  <r>
    <x v="30"/>
    <s v="2024-05-11"/>
    <x v="2"/>
    <x v="0"/>
    <x v="2"/>
    <n v="3818"/>
    <n v="2108.84"/>
    <x v="0"/>
    <x v="19"/>
    <n v="19090"/>
    <n v="5727"/>
    <n v="2818.7999999999993"/>
    <n v="14.765845992666312"/>
  </r>
  <r>
    <x v="31"/>
    <s v="2024-05-03"/>
    <x v="0"/>
    <x v="1"/>
    <x v="5"/>
    <n v="2100"/>
    <n v="1564.04"/>
    <x v="8"/>
    <x v="4"/>
    <n v="6300"/>
    <n v="1449"/>
    <n v="158.88000000000011"/>
    <n v="2.5219047619047639"/>
  </r>
  <r>
    <x v="32"/>
    <s v="2024-10-06"/>
    <x v="3"/>
    <x v="1"/>
    <x v="5"/>
    <n v="1045"/>
    <n v="874.94"/>
    <x v="2"/>
    <x v="8"/>
    <n v="4180"/>
    <n v="794.2"/>
    <n v="-113.96000000000026"/>
    <n v="-2.7263157894736905"/>
  </r>
  <r>
    <x v="33"/>
    <s v="2024-03-04"/>
    <x v="0"/>
    <x v="0"/>
    <x v="11"/>
    <n v="2822"/>
    <n v="1795.83"/>
    <x v="6"/>
    <x v="9"/>
    <n v="22576"/>
    <n v="4515.2"/>
    <n v="3694.1600000000008"/>
    <n v="16.363217576187104"/>
  </r>
  <r>
    <x v="34"/>
    <s v="2024-05-11"/>
    <x v="1"/>
    <x v="0"/>
    <x v="0"/>
    <n v="4505"/>
    <n v="2832.47"/>
    <x v="9"/>
    <x v="20"/>
    <n v="4505"/>
    <n v="585.65"/>
    <n v="1086.8800000000001"/>
    <n v="24.126082130965596"/>
  </r>
  <r>
    <x v="35"/>
    <s v="2024-04-13"/>
    <x v="0"/>
    <x v="0"/>
    <x v="2"/>
    <n v="3880"/>
    <n v="2207.0500000000002"/>
    <x v="6"/>
    <x v="0"/>
    <n v="31040"/>
    <n v="5587.2"/>
    <n v="7796.3999999999987"/>
    <n v="25.117268041237111"/>
  </r>
  <r>
    <x v="36"/>
    <s v="2024-09-09"/>
    <x v="3"/>
    <x v="2"/>
    <x v="9"/>
    <n v="2295"/>
    <n v="1388.66"/>
    <x v="4"/>
    <x v="1"/>
    <n v="22950"/>
    <n v="3901.5000000000005"/>
    <n v="5161.8999999999996"/>
    <n v="22.491938997821347"/>
  </r>
  <r>
    <x v="37"/>
    <s v="2024-12-13"/>
    <x v="1"/>
    <x v="2"/>
    <x v="8"/>
    <n v="2099"/>
    <n v="1461.58"/>
    <x v="9"/>
    <x v="14"/>
    <n v="2099"/>
    <n v="146.93"/>
    <n v="490.49000000000007"/>
    <n v="23.367794187708434"/>
  </r>
  <r>
    <x v="38"/>
    <s v="2024-12-13"/>
    <x v="3"/>
    <x v="2"/>
    <x v="8"/>
    <n v="3329"/>
    <n v="1858.18"/>
    <x v="7"/>
    <x v="21"/>
    <n v="23303"/>
    <n v="466.06"/>
    <n v="9829.68"/>
    <n v="42.182036647641937"/>
  </r>
  <r>
    <x v="39"/>
    <s v="2024-09-07"/>
    <x v="0"/>
    <x v="1"/>
    <x v="7"/>
    <n v="2108"/>
    <n v="1429.1"/>
    <x v="3"/>
    <x v="21"/>
    <n v="12648"/>
    <n v="252.96"/>
    <n v="3820.4400000000014"/>
    <n v="30.205882352941188"/>
  </r>
  <r>
    <x v="40"/>
    <s v="2024-09-22"/>
    <x v="2"/>
    <x v="0"/>
    <x v="11"/>
    <n v="4359"/>
    <n v="3320.4"/>
    <x v="0"/>
    <x v="4"/>
    <n v="21795"/>
    <n v="5012.8500000000004"/>
    <n v="180.14999999999964"/>
    <n v="0.8265657260839625"/>
  </r>
  <r>
    <x v="41"/>
    <s v="2024-08-11"/>
    <x v="2"/>
    <x v="0"/>
    <x v="2"/>
    <n v="2663"/>
    <n v="1874.17"/>
    <x v="8"/>
    <x v="22"/>
    <n v="7989"/>
    <n v="3115.71"/>
    <n v="-749.22000000000025"/>
    <n v="-9.3781449493052982"/>
  </r>
  <r>
    <x v="42"/>
    <s v="2024-12-17"/>
    <x v="2"/>
    <x v="1"/>
    <x v="5"/>
    <n v="2077"/>
    <n v="1298.21"/>
    <x v="3"/>
    <x v="9"/>
    <n v="12462"/>
    <n v="2492.4"/>
    <n v="2180.3399999999997"/>
    <n v="17.495907558979297"/>
  </r>
  <r>
    <x v="43"/>
    <s v="2024-11-09"/>
    <x v="0"/>
    <x v="2"/>
    <x v="8"/>
    <n v="1533"/>
    <n v="1196.2"/>
    <x v="3"/>
    <x v="23"/>
    <n v="9198"/>
    <n v="2023.56"/>
    <n v="-2.760000000000673"/>
    <n v="-3.0006523157215404E-2"/>
  </r>
  <r>
    <x v="44"/>
    <s v="2024-02-26"/>
    <x v="3"/>
    <x v="1"/>
    <x v="7"/>
    <n v="1106"/>
    <n v="804.72"/>
    <x v="1"/>
    <x v="3"/>
    <n v="9954"/>
    <n v="1393.5600000000002"/>
    <n v="1317.9599999999994"/>
    <n v="13.240506329113918"/>
  </r>
  <r>
    <x v="45"/>
    <s v="2024-02-20"/>
    <x v="1"/>
    <x v="1"/>
    <x v="5"/>
    <n v="2378"/>
    <n v="1452.76"/>
    <x v="1"/>
    <x v="18"/>
    <n v="21402"/>
    <n v="642.05999999999995"/>
    <n v="7685.1"/>
    <n v="35.908326324642559"/>
  </r>
  <r>
    <x v="46"/>
    <s v="2024-03-31"/>
    <x v="3"/>
    <x v="1"/>
    <x v="1"/>
    <n v="2484"/>
    <n v="1613.82"/>
    <x v="5"/>
    <x v="14"/>
    <n v="4968"/>
    <n v="347.76000000000005"/>
    <n v="1392.6000000000001"/>
    <n v="28.031400966183579"/>
  </r>
  <r>
    <x v="47"/>
    <s v="2024-05-20"/>
    <x v="2"/>
    <x v="2"/>
    <x v="3"/>
    <n v="2510"/>
    <n v="1579.75"/>
    <x v="2"/>
    <x v="24"/>
    <n v="10040"/>
    <n v="2108.4"/>
    <n v="1612.6"/>
    <n v="16.061752988047807"/>
  </r>
  <r>
    <x v="48"/>
    <s v="2024-12-21"/>
    <x v="0"/>
    <x v="1"/>
    <x v="10"/>
    <n v="1901"/>
    <n v="1546.86"/>
    <x v="2"/>
    <x v="12"/>
    <n v="7604"/>
    <n v="1824.96"/>
    <n v="-408.39999999999964"/>
    <n v="-5.3708574434508103"/>
  </r>
  <r>
    <x v="49"/>
    <s v="2024-06-27"/>
    <x v="0"/>
    <x v="2"/>
    <x v="9"/>
    <n v="3683"/>
    <n v="2638.09"/>
    <x v="2"/>
    <x v="18"/>
    <n v="14732"/>
    <n v="441.96"/>
    <n v="3737.6799999999994"/>
    <n v="25.371164811295138"/>
  </r>
  <r>
    <x v="50"/>
    <s v="2024-08-03"/>
    <x v="0"/>
    <x v="1"/>
    <x v="5"/>
    <n v="2094"/>
    <n v="1546.66"/>
    <x v="3"/>
    <x v="25"/>
    <n v="12564"/>
    <n v="753.83999999999992"/>
    <n v="2530.1999999999989"/>
    <n v="20.138490926456534"/>
  </r>
  <r>
    <x v="51"/>
    <s v="2024-05-14"/>
    <x v="1"/>
    <x v="0"/>
    <x v="0"/>
    <n v="5343"/>
    <n v="3538.65"/>
    <x v="3"/>
    <x v="1"/>
    <n v="32058"/>
    <n v="5449.8600000000006"/>
    <n v="5376.239999999998"/>
    <n v="16.770353733857377"/>
  </r>
  <r>
    <x v="52"/>
    <s v="2024-05-24"/>
    <x v="1"/>
    <x v="0"/>
    <x v="2"/>
    <n v="3740"/>
    <n v="2542.0300000000002"/>
    <x v="5"/>
    <x v="15"/>
    <n v="7480"/>
    <n v="673.19999999999993"/>
    <n v="1722.7399999999998"/>
    <n v="23.031283422459889"/>
  </r>
  <r>
    <x v="53"/>
    <s v="2024-11-23"/>
    <x v="2"/>
    <x v="1"/>
    <x v="5"/>
    <n v="2478"/>
    <n v="2046.48"/>
    <x v="8"/>
    <x v="26"/>
    <n v="7434"/>
    <n v="2676.24"/>
    <n v="-1381.6800000000003"/>
    <n v="-18.585956416464892"/>
  </r>
  <r>
    <x v="54"/>
    <s v="2024-07-31"/>
    <x v="2"/>
    <x v="2"/>
    <x v="8"/>
    <n v="2966"/>
    <n v="2186.0300000000002"/>
    <x v="7"/>
    <x v="12"/>
    <n v="20762"/>
    <n v="4982.88"/>
    <n v="476.90999999999894"/>
    <n v="2.2970330411328335"/>
  </r>
  <r>
    <x v="55"/>
    <s v="2024-01-26"/>
    <x v="0"/>
    <x v="0"/>
    <x v="2"/>
    <n v="3879"/>
    <n v="2909.78"/>
    <x v="5"/>
    <x v="27"/>
    <n v="7758"/>
    <n v="853.38"/>
    <n v="1085.0599999999995"/>
    <n v="13.986336684712548"/>
  </r>
  <r>
    <x v="56"/>
    <s v="2024-12-11"/>
    <x v="3"/>
    <x v="2"/>
    <x v="3"/>
    <n v="2824"/>
    <n v="1904.44"/>
    <x v="4"/>
    <x v="7"/>
    <n v="28240"/>
    <n v="282.40000000000003"/>
    <n v="8913.1999999999989"/>
    <n v="31.562322946175637"/>
  </r>
  <r>
    <x v="57"/>
    <s v="2024-09-13"/>
    <x v="0"/>
    <x v="0"/>
    <x v="2"/>
    <n v="4666"/>
    <n v="3556.07"/>
    <x v="9"/>
    <x v="7"/>
    <n v="4666"/>
    <n v="46.660000000000004"/>
    <n v="1063.2699999999998"/>
    <n v="22.787612516073718"/>
  </r>
  <r>
    <x v="58"/>
    <s v="2024-01-26"/>
    <x v="1"/>
    <x v="0"/>
    <x v="11"/>
    <n v="3172"/>
    <n v="1779.95"/>
    <x v="5"/>
    <x v="17"/>
    <n v="6344"/>
    <n v="951.59999999999991"/>
    <n v="1832.5"/>
    <n v="28.885561160151322"/>
  </r>
  <r>
    <x v="59"/>
    <s v="2024-10-30"/>
    <x v="0"/>
    <x v="1"/>
    <x v="1"/>
    <n v="874"/>
    <n v="626.09"/>
    <x v="8"/>
    <x v="25"/>
    <n v="2622"/>
    <n v="157.32"/>
    <n v="586.41000000000008"/>
    <n v="22.364988558352405"/>
  </r>
  <r>
    <x v="60"/>
    <s v="2024-04-21"/>
    <x v="3"/>
    <x v="0"/>
    <x v="2"/>
    <n v="3253"/>
    <n v="2043.16"/>
    <x v="2"/>
    <x v="20"/>
    <n v="13012"/>
    <n v="1691.56"/>
    <n v="3147.7999999999997"/>
    <n v="24.191515524131567"/>
  </r>
  <r>
    <x v="61"/>
    <s v="2024-11-08"/>
    <x v="3"/>
    <x v="0"/>
    <x v="11"/>
    <n v="3220"/>
    <n v="2506.85"/>
    <x v="6"/>
    <x v="12"/>
    <n v="25760"/>
    <n v="6182.4"/>
    <n v="-477.19999999999891"/>
    <n v="-1.8524844720496851"/>
  </r>
  <r>
    <x v="62"/>
    <s v="2024-01-29"/>
    <x v="0"/>
    <x v="2"/>
    <x v="4"/>
    <n v="2992"/>
    <n v="2056.64"/>
    <x v="4"/>
    <x v="23"/>
    <n v="29920"/>
    <n v="6582.4"/>
    <n v="2771.2000000000025"/>
    <n v="9.2620320855615059"/>
  </r>
  <r>
    <x v="63"/>
    <s v="2024-05-12"/>
    <x v="0"/>
    <x v="0"/>
    <x v="2"/>
    <n v="4146"/>
    <n v="2773.25"/>
    <x v="6"/>
    <x v="25"/>
    <n v="33168"/>
    <n v="1990.08"/>
    <n v="8991.92"/>
    <n v="27.110226724553787"/>
  </r>
  <r>
    <x v="64"/>
    <s v="2024-04-24"/>
    <x v="2"/>
    <x v="1"/>
    <x v="7"/>
    <n v="1700"/>
    <n v="1075.6199999999999"/>
    <x v="2"/>
    <x v="28"/>
    <n v="6800"/>
    <n v="2720"/>
    <n v="-222.47999999999956"/>
    <n v="-3.2717647058823465"/>
  </r>
  <r>
    <x v="65"/>
    <s v="2024-04-17"/>
    <x v="0"/>
    <x v="0"/>
    <x v="6"/>
    <n v="5868"/>
    <n v="4882.59"/>
    <x v="6"/>
    <x v="1"/>
    <n v="46944"/>
    <n v="7980.4800000000005"/>
    <n v="-97.200000000001637"/>
    <n v="-0.20705521472392988"/>
  </r>
  <r>
    <x v="66"/>
    <s v="2024-07-18"/>
    <x v="0"/>
    <x v="0"/>
    <x v="11"/>
    <n v="5500"/>
    <n v="3435.46"/>
    <x v="8"/>
    <x v="8"/>
    <n v="16500"/>
    <n v="3135"/>
    <n v="3058.619999999999"/>
    <n v="18.537090909090903"/>
  </r>
  <r>
    <x v="67"/>
    <s v="2024-03-05"/>
    <x v="0"/>
    <x v="0"/>
    <x v="11"/>
    <n v="5006"/>
    <n v="3061.82"/>
    <x v="8"/>
    <x v="14"/>
    <n v="15018"/>
    <n v="1051.26"/>
    <n v="4781.2799999999988"/>
    <n v="31.836995605273664"/>
  </r>
  <r>
    <x v="68"/>
    <s v="2024-09-29"/>
    <x v="2"/>
    <x v="0"/>
    <x v="11"/>
    <n v="4037"/>
    <n v="2435.27"/>
    <x v="3"/>
    <x v="29"/>
    <n v="24222"/>
    <n v="7508.82"/>
    <n v="2101.5600000000013"/>
    <n v="8.6762447361902453"/>
  </r>
  <r>
    <x v="69"/>
    <s v="2024-08-31"/>
    <x v="1"/>
    <x v="0"/>
    <x v="11"/>
    <n v="4211"/>
    <n v="2450.2199999999998"/>
    <x v="3"/>
    <x v="17"/>
    <n v="25266"/>
    <n v="3789.8999999999996"/>
    <n v="6774.7800000000007"/>
    <n v="26.813820945143675"/>
  </r>
  <r>
    <x v="70"/>
    <s v="2024-09-06"/>
    <x v="0"/>
    <x v="1"/>
    <x v="5"/>
    <n v="1475"/>
    <n v="1203.33"/>
    <x v="6"/>
    <x v="30"/>
    <n v="11800"/>
    <n v="1888"/>
    <n v="285.36000000000058"/>
    <n v="2.4183050847457679"/>
  </r>
  <r>
    <x v="71"/>
    <s v="2024-03-14"/>
    <x v="2"/>
    <x v="2"/>
    <x v="3"/>
    <n v="3064"/>
    <n v="2206.7800000000002"/>
    <x v="8"/>
    <x v="10"/>
    <n v="9192"/>
    <n v="3217.2"/>
    <n v="-645.54"/>
    <n v="-7.0228459530026104"/>
  </r>
  <r>
    <x v="72"/>
    <s v="2024-10-27"/>
    <x v="3"/>
    <x v="1"/>
    <x v="10"/>
    <n v="1665"/>
    <n v="1284.6300000000001"/>
    <x v="7"/>
    <x v="4"/>
    <n v="11655"/>
    <n v="2680.65"/>
    <n v="-18.059999999999945"/>
    <n v="-0.15495495495495448"/>
  </r>
  <r>
    <x v="73"/>
    <s v="2024-06-04"/>
    <x v="2"/>
    <x v="2"/>
    <x v="4"/>
    <n v="2297"/>
    <n v="1462.11"/>
    <x v="2"/>
    <x v="31"/>
    <n v="9188"/>
    <n v="2572.6400000000003"/>
    <n v="766.92000000000007"/>
    <n v="8.3469743143230311"/>
  </r>
  <r>
    <x v="74"/>
    <s v="2024-03-18"/>
    <x v="0"/>
    <x v="2"/>
    <x v="9"/>
    <n v="3442"/>
    <n v="2896.33"/>
    <x v="4"/>
    <x v="6"/>
    <n v="34420"/>
    <n v="3442"/>
    <n v="2014.7000000000007"/>
    <n v="5.8532829750145288"/>
  </r>
  <r>
    <x v="75"/>
    <s v="2024-12-25"/>
    <x v="0"/>
    <x v="2"/>
    <x v="8"/>
    <n v="2598"/>
    <n v="1475.92"/>
    <x v="5"/>
    <x v="13"/>
    <n v="5196"/>
    <n v="415.68"/>
    <n v="1828.4799999999998"/>
    <n v="35.190146266358738"/>
  </r>
  <r>
    <x v="76"/>
    <s v="2024-10-25"/>
    <x v="2"/>
    <x v="2"/>
    <x v="4"/>
    <n v="2831"/>
    <n v="1847.99"/>
    <x v="3"/>
    <x v="32"/>
    <n v="16986"/>
    <n v="5605.38"/>
    <n v="292.67999999999938"/>
    <n v="1.7230660543977359"/>
  </r>
  <r>
    <x v="77"/>
    <s v="2024-01-20"/>
    <x v="2"/>
    <x v="2"/>
    <x v="3"/>
    <n v="2475"/>
    <n v="1502.76"/>
    <x v="5"/>
    <x v="26"/>
    <n v="4950"/>
    <n v="1782"/>
    <n v="162.48000000000002"/>
    <n v="3.2824242424242431"/>
  </r>
  <r>
    <x v="78"/>
    <s v="2024-07-12"/>
    <x v="3"/>
    <x v="1"/>
    <x v="5"/>
    <n v="2467"/>
    <n v="2042.51"/>
    <x v="0"/>
    <x v="21"/>
    <n v="12335"/>
    <n v="246.70000000000002"/>
    <n v="1875.7500000000007"/>
    <n v="15.206728820429676"/>
  </r>
  <r>
    <x v="79"/>
    <s v="2024-02-25"/>
    <x v="2"/>
    <x v="0"/>
    <x v="2"/>
    <n v="3568"/>
    <n v="2774.95"/>
    <x v="1"/>
    <x v="32"/>
    <n v="32112"/>
    <n v="10596.960000000001"/>
    <n v="-3459.51"/>
    <n v="-10.773262331838565"/>
  </r>
  <r>
    <x v="80"/>
    <s v="2024-06-09"/>
    <x v="2"/>
    <x v="1"/>
    <x v="10"/>
    <n v="1602"/>
    <n v="1187.3499999999999"/>
    <x v="3"/>
    <x v="33"/>
    <n v="9612"/>
    <n v="2499.12"/>
    <n v="-11.219999999999345"/>
    <n v="-0.11672908863919419"/>
  </r>
  <r>
    <x v="81"/>
    <s v="2024-05-08"/>
    <x v="1"/>
    <x v="0"/>
    <x v="6"/>
    <n v="3879"/>
    <n v="2890.67"/>
    <x v="8"/>
    <x v="1"/>
    <n v="11637"/>
    <n v="1978.2900000000002"/>
    <n v="986.69999999999959"/>
    <n v="8.4789894302655302"/>
  </r>
  <r>
    <x v="82"/>
    <s v="2024-09-05"/>
    <x v="1"/>
    <x v="0"/>
    <x v="11"/>
    <n v="2828"/>
    <n v="2034.07"/>
    <x v="4"/>
    <x v="13"/>
    <n v="28280"/>
    <n v="2262.4"/>
    <n v="5676.9"/>
    <n v="20.073903818953323"/>
  </r>
  <r>
    <x v="83"/>
    <s v="2024-05-28"/>
    <x v="3"/>
    <x v="1"/>
    <x v="5"/>
    <n v="749"/>
    <n v="443.4"/>
    <x v="0"/>
    <x v="15"/>
    <n v="3745"/>
    <n v="337.05"/>
    <n v="1190.95"/>
    <n v="31.801068090787719"/>
  </r>
  <r>
    <x v="84"/>
    <s v="2024-05-30"/>
    <x v="2"/>
    <x v="2"/>
    <x v="8"/>
    <n v="3350"/>
    <n v="2321.2800000000002"/>
    <x v="0"/>
    <x v="34"/>
    <n v="16750"/>
    <n v="4187.5"/>
    <n v="956.09999999999854"/>
    <n v="5.7080597014925285"/>
  </r>
  <r>
    <x v="85"/>
    <s v="2024-01-15"/>
    <x v="3"/>
    <x v="2"/>
    <x v="8"/>
    <n v="3351"/>
    <n v="2362.9499999999998"/>
    <x v="3"/>
    <x v="23"/>
    <n v="20106"/>
    <n v="4423.32"/>
    <n v="1504.9800000000014"/>
    <n v="7.4852282900626745"/>
  </r>
  <r>
    <x v="86"/>
    <s v="2024-09-03"/>
    <x v="0"/>
    <x v="2"/>
    <x v="4"/>
    <n v="3531"/>
    <n v="2427.0500000000002"/>
    <x v="2"/>
    <x v="20"/>
    <n v="14124"/>
    <n v="1836.1200000000001"/>
    <n v="2579.6799999999994"/>
    <n v="18.264514301897474"/>
  </r>
  <r>
    <x v="87"/>
    <s v="2024-12-18"/>
    <x v="2"/>
    <x v="2"/>
    <x v="9"/>
    <n v="2985"/>
    <n v="1802.77"/>
    <x v="2"/>
    <x v="22"/>
    <n v="11940"/>
    <n v="4656.6000000000004"/>
    <n v="72.319999999999709"/>
    <n v="0.60569514237855704"/>
  </r>
  <r>
    <x v="88"/>
    <s v="2024-11-30"/>
    <x v="3"/>
    <x v="2"/>
    <x v="4"/>
    <n v="2820"/>
    <n v="2006.71"/>
    <x v="0"/>
    <x v="6"/>
    <n v="14100"/>
    <n v="1410"/>
    <n v="2656.4500000000007"/>
    <n v="18.84007092198582"/>
  </r>
  <r>
    <x v="89"/>
    <s v="2024-08-01"/>
    <x v="1"/>
    <x v="2"/>
    <x v="3"/>
    <n v="1935"/>
    <n v="1571.04"/>
    <x v="0"/>
    <x v="15"/>
    <n v="9675"/>
    <n v="870.75"/>
    <n v="949.05000000000018"/>
    <n v="9.8093023255813971"/>
  </r>
  <r>
    <x v="90"/>
    <s v="2024-08-14"/>
    <x v="3"/>
    <x v="2"/>
    <x v="4"/>
    <n v="3464"/>
    <n v="2867.15"/>
    <x v="9"/>
    <x v="3"/>
    <n v="3464"/>
    <n v="484.96000000000004"/>
    <n v="111.88999999999987"/>
    <n v="3.2300808314087721"/>
  </r>
  <r>
    <x v="91"/>
    <s v="2024-06-08"/>
    <x v="1"/>
    <x v="1"/>
    <x v="10"/>
    <n v="893"/>
    <n v="578.4"/>
    <x v="5"/>
    <x v="35"/>
    <n v="1786"/>
    <n v="89.300000000000011"/>
    <n v="539.90000000000009"/>
    <n v="30.229563269876824"/>
  </r>
  <r>
    <x v="92"/>
    <s v="2024-03-24"/>
    <x v="2"/>
    <x v="2"/>
    <x v="4"/>
    <n v="2196"/>
    <n v="1537.64"/>
    <x v="4"/>
    <x v="2"/>
    <n v="21960"/>
    <n v="6368.4"/>
    <n v="215.19999999999891"/>
    <n v="0.97996357012749957"/>
  </r>
  <r>
    <x v="93"/>
    <s v="2024-11-05"/>
    <x v="0"/>
    <x v="1"/>
    <x v="5"/>
    <n v="2164"/>
    <n v="1676.78"/>
    <x v="8"/>
    <x v="35"/>
    <n v="6492"/>
    <n v="324.60000000000002"/>
    <n v="1137.06"/>
    <n v="17.514787430683917"/>
  </r>
  <r>
    <x v="94"/>
    <s v="2024-08-06"/>
    <x v="1"/>
    <x v="1"/>
    <x v="1"/>
    <n v="1565"/>
    <n v="1288.7"/>
    <x v="9"/>
    <x v="18"/>
    <n v="1565"/>
    <n v="46.949999999999996"/>
    <n v="229.34999999999997"/>
    <n v="14.654952076677313"/>
  </r>
  <r>
    <x v="95"/>
    <s v="2024-02-10"/>
    <x v="0"/>
    <x v="0"/>
    <x v="6"/>
    <n v="3762"/>
    <n v="3174.3"/>
    <x v="1"/>
    <x v="14"/>
    <n v="33858"/>
    <n v="2370.0600000000004"/>
    <n v="2919.2399999999989"/>
    <n v="8.6220095693779886"/>
  </r>
  <r>
    <x v="96"/>
    <s v="2024-02-17"/>
    <x v="2"/>
    <x v="1"/>
    <x v="1"/>
    <n v="2021"/>
    <n v="1142.22"/>
    <x v="7"/>
    <x v="36"/>
    <n v="14147"/>
    <n v="5375.86"/>
    <n v="775.60000000000036"/>
    <n v="5.4824344383968358"/>
  </r>
  <r>
    <x v="97"/>
    <s v="2024-02-08"/>
    <x v="1"/>
    <x v="2"/>
    <x v="3"/>
    <n v="2390"/>
    <n v="1911.82"/>
    <x v="8"/>
    <x v="8"/>
    <n v="7170"/>
    <n v="1362.3"/>
    <n v="72.240000000000009"/>
    <n v="1.0075313807531383"/>
  </r>
  <r>
    <x v="98"/>
    <s v="2024-01-29"/>
    <x v="3"/>
    <x v="2"/>
    <x v="3"/>
    <n v="3255"/>
    <n v="2447.71"/>
    <x v="9"/>
    <x v="12"/>
    <n v="3255"/>
    <n v="781.19999999999993"/>
    <n v="26.090000000000032"/>
    <n v="0.80153609831029282"/>
  </r>
  <r>
    <x v="99"/>
    <s v="2024-05-16"/>
    <x v="1"/>
    <x v="0"/>
    <x v="6"/>
    <n v="3050"/>
    <n v="2414.75"/>
    <x v="5"/>
    <x v="34"/>
    <n v="6100"/>
    <n v="1525"/>
    <n v="-254.5"/>
    <n v="-4.1721311475409832"/>
  </r>
  <r>
    <x v="100"/>
    <s v="2024-05-05"/>
    <x v="3"/>
    <x v="0"/>
    <x v="11"/>
    <n v="4071"/>
    <n v="3019.38"/>
    <x v="4"/>
    <x v="30"/>
    <n v="40710"/>
    <n v="6513.6"/>
    <n v="4002.5999999999967"/>
    <n v="9.8319823139277744"/>
  </r>
  <r>
    <x v="101"/>
    <s v="2024-09-19"/>
    <x v="2"/>
    <x v="0"/>
    <x v="6"/>
    <n v="3344"/>
    <n v="1902.57"/>
    <x v="4"/>
    <x v="34"/>
    <n v="33440"/>
    <n v="8360"/>
    <n v="6054.2999999999993"/>
    <n v="18.104964114832534"/>
  </r>
  <r>
    <x v="102"/>
    <s v="2024-05-09"/>
    <x v="1"/>
    <x v="1"/>
    <x v="7"/>
    <n v="2311"/>
    <n v="1350.13"/>
    <x v="6"/>
    <x v="24"/>
    <n v="18488"/>
    <n v="3882.48"/>
    <n v="3804.4799999999991"/>
    <n v="20.578104716572906"/>
  </r>
  <r>
    <x v="103"/>
    <s v="2024-01-15"/>
    <x v="1"/>
    <x v="0"/>
    <x v="2"/>
    <n v="5713"/>
    <n v="4500.6899999999996"/>
    <x v="7"/>
    <x v="0"/>
    <n v="39991"/>
    <n v="7198.38"/>
    <n v="1287.7900000000018"/>
    <n v="3.2201995448976062"/>
  </r>
  <r>
    <x v="104"/>
    <s v="2024-05-23"/>
    <x v="2"/>
    <x v="0"/>
    <x v="2"/>
    <n v="3500"/>
    <n v="2386.9299999999998"/>
    <x v="4"/>
    <x v="33"/>
    <n v="35000"/>
    <n v="9100"/>
    <n v="2030.7000000000007"/>
    <n v="5.8020000000000023"/>
  </r>
  <r>
    <x v="105"/>
    <s v="2024-05-14"/>
    <x v="3"/>
    <x v="0"/>
    <x v="2"/>
    <n v="2564"/>
    <n v="2124.19"/>
    <x v="6"/>
    <x v="3"/>
    <n v="20512"/>
    <n v="2871.6800000000003"/>
    <n v="646.79999999999927"/>
    <n v="3.1532761310452386"/>
  </r>
  <r>
    <x v="106"/>
    <s v="2024-11-22"/>
    <x v="2"/>
    <x v="2"/>
    <x v="8"/>
    <n v="2960"/>
    <n v="1935.99"/>
    <x v="4"/>
    <x v="2"/>
    <n v="29600"/>
    <n v="8584"/>
    <n v="1656.0999999999985"/>
    <n v="5.5949324324324277"/>
  </r>
  <r>
    <x v="107"/>
    <s v="2024-05-17"/>
    <x v="3"/>
    <x v="0"/>
    <x v="2"/>
    <n v="5517"/>
    <n v="3339.62"/>
    <x v="7"/>
    <x v="8"/>
    <n v="38619"/>
    <n v="7337.61"/>
    <n v="7904.05"/>
    <n v="20.466739169838679"/>
  </r>
  <r>
    <x v="108"/>
    <s v="2024-06-03"/>
    <x v="1"/>
    <x v="1"/>
    <x v="7"/>
    <n v="1292"/>
    <n v="779.48"/>
    <x v="6"/>
    <x v="16"/>
    <n v="10336"/>
    <n v="1240.32"/>
    <n v="2859.84"/>
    <n v="27.668730650154799"/>
  </r>
  <r>
    <x v="109"/>
    <s v="2024-09-16"/>
    <x v="2"/>
    <x v="2"/>
    <x v="3"/>
    <n v="2123"/>
    <n v="1452.97"/>
    <x v="2"/>
    <x v="5"/>
    <n v="8492"/>
    <n v="3142.04"/>
    <n v="-461.92000000000007"/>
    <n v="-5.4394724446537923"/>
  </r>
  <r>
    <x v="110"/>
    <s v="2024-02-23"/>
    <x v="2"/>
    <x v="2"/>
    <x v="9"/>
    <n v="2114"/>
    <n v="1587.6"/>
    <x v="1"/>
    <x v="19"/>
    <n v="19026"/>
    <n v="5707.8"/>
    <n v="-970.19999999999982"/>
    <n v="-5.0993377483443698"/>
  </r>
  <r>
    <x v="111"/>
    <s v="2024-03-10"/>
    <x v="3"/>
    <x v="2"/>
    <x v="3"/>
    <n v="3008"/>
    <n v="2472.64"/>
    <x v="8"/>
    <x v="14"/>
    <n v="9024"/>
    <n v="631.68000000000006"/>
    <n v="974.39999999999986"/>
    <n v="10.797872340425531"/>
  </r>
  <r>
    <x v="112"/>
    <s v="2024-08-17"/>
    <x v="2"/>
    <x v="0"/>
    <x v="2"/>
    <n v="3716"/>
    <n v="2755.42"/>
    <x v="0"/>
    <x v="4"/>
    <n v="18580"/>
    <n v="4273.4000000000005"/>
    <n v="529.49999999999909"/>
    <n v="2.8498385360602749"/>
  </r>
  <r>
    <x v="113"/>
    <s v="2024-02-11"/>
    <x v="1"/>
    <x v="2"/>
    <x v="3"/>
    <n v="1909"/>
    <n v="1490.26"/>
    <x v="1"/>
    <x v="1"/>
    <n v="17181"/>
    <n v="2920.7700000000004"/>
    <n v="847.88999999999942"/>
    <n v="4.9350445259298024"/>
  </r>
  <r>
    <x v="114"/>
    <s v="2024-07-07"/>
    <x v="0"/>
    <x v="1"/>
    <x v="10"/>
    <n v="630"/>
    <n v="383.01"/>
    <x v="4"/>
    <x v="15"/>
    <n v="6300"/>
    <n v="567"/>
    <n v="1902.9"/>
    <n v="30.204761904761906"/>
  </r>
  <r>
    <x v="115"/>
    <s v="2024-12-05"/>
    <x v="0"/>
    <x v="0"/>
    <x v="6"/>
    <n v="4878"/>
    <n v="2963.63"/>
    <x v="7"/>
    <x v="21"/>
    <n v="34146"/>
    <n v="682.92"/>
    <n v="12717.67"/>
    <n v="37.244977449774495"/>
  </r>
  <r>
    <x v="116"/>
    <s v="2024-01-10"/>
    <x v="0"/>
    <x v="2"/>
    <x v="3"/>
    <n v="2403"/>
    <n v="1484.22"/>
    <x v="1"/>
    <x v="30"/>
    <n v="21627"/>
    <n v="3460.32"/>
    <n v="4808.7000000000007"/>
    <n v="22.234706616729092"/>
  </r>
  <r>
    <x v="117"/>
    <s v="2024-03-15"/>
    <x v="2"/>
    <x v="1"/>
    <x v="1"/>
    <n v="536"/>
    <n v="451.48"/>
    <x v="8"/>
    <x v="24"/>
    <n v="1608"/>
    <n v="337.68"/>
    <n v="-84.120000000000061"/>
    <n v="-5.2313432835820937"/>
  </r>
  <r>
    <x v="118"/>
    <s v="2024-08-12"/>
    <x v="0"/>
    <x v="2"/>
    <x v="4"/>
    <n v="2780"/>
    <n v="1849.06"/>
    <x v="3"/>
    <x v="7"/>
    <n v="16680"/>
    <n v="166.8"/>
    <n v="5418.8399999999992"/>
    <n v="32.487050359712228"/>
  </r>
  <r>
    <x v="119"/>
    <s v="2024-05-04"/>
    <x v="1"/>
    <x v="1"/>
    <x v="10"/>
    <n v="2054"/>
    <n v="1318.38"/>
    <x v="1"/>
    <x v="27"/>
    <n v="18486"/>
    <n v="2033.46"/>
    <n v="4587.1199999999981"/>
    <n v="24.814021421616346"/>
  </r>
  <r>
    <x v="120"/>
    <s v="2024-08-04"/>
    <x v="3"/>
    <x v="1"/>
    <x v="1"/>
    <n v="2082"/>
    <n v="1572"/>
    <x v="3"/>
    <x v="11"/>
    <n v="12492"/>
    <n v="0"/>
    <n v="3060"/>
    <n v="24.495677233429394"/>
  </r>
  <r>
    <x v="121"/>
    <s v="2024-05-10"/>
    <x v="2"/>
    <x v="2"/>
    <x v="9"/>
    <n v="1721"/>
    <n v="1370.71"/>
    <x v="8"/>
    <x v="36"/>
    <n v="5163"/>
    <n v="1961.94"/>
    <n v="-911.07000000000016"/>
    <n v="-17.646135967460783"/>
  </r>
  <r>
    <x v="122"/>
    <s v="2024-11-11"/>
    <x v="2"/>
    <x v="1"/>
    <x v="1"/>
    <n v="1953"/>
    <n v="1440.04"/>
    <x v="5"/>
    <x v="28"/>
    <n v="3906"/>
    <n v="1562.4"/>
    <n v="-536.48"/>
    <n v="-13.734767025089607"/>
  </r>
  <r>
    <x v="123"/>
    <s v="2024-09-13"/>
    <x v="1"/>
    <x v="0"/>
    <x v="6"/>
    <n v="2679"/>
    <n v="1876.33"/>
    <x v="2"/>
    <x v="9"/>
    <n v="10716"/>
    <n v="2143.2000000000003"/>
    <n v="1067.48"/>
    <n v="9.9615528182157522"/>
  </r>
  <r>
    <x v="124"/>
    <s v="2024-06-28"/>
    <x v="1"/>
    <x v="0"/>
    <x v="6"/>
    <n v="4490"/>
    <n v="3413.9"/>
    <x v="4"/>
    <x v="27"/>
    <n v="44900"/>
    <n v="4939"/>
    <n v="5822"/>
    <n v="12.966592427616927"/>
  </r>
  <r>
    <x v="125"/>
    <s v="2024-04-29"/>
    <x v="3"/>
    <x v="2"/>
    <x v="4"/>
    <n v="3878"/>
    <n v="3100.08"/>
    <x v="5"/>
    <x v="24"/>
    <n v="7756"/>
    <n v="1628.76"/>
    <n v="-72.919999999999845"/>
    <n v="-0.94017534811758441"/>
  </r>
  <r>
    <x v="126"/>
    <s v="2024-08-22"/>
    <x v="2"/>
    <x v="0"/>
    <x v="6"/>
    <n v="5220"/>
    <n v="3710.71"/>
    <x v="6"/>
    <x v="4"/>
    <n v="41760"/>
    <n v="9604.8000000000011"/>
    <n v="2469.5199999999986"/>
    <n v="5.9136015325670463"/>
  </r>
  <r>
    <x v="127"/>
    <s v="2024-03-26"/>
    <x v="0"/>
    <x v="1"/>
    <x v="10"/>
    <n v="2308"/>
    <n v="1291.22"/>
    <x v="5"/>
    <x v="17"/>
    <n v="4616"/>
    <n v="692.4"/>
    <n v="1341.1599999999999"/>
    <n v="29.054592720970536"/>
  </r>
  <r>
    <x v="128"/>
    <s v="2024-04-26"/>
    <x v="3"/>
    <x v="2"/>
    <x v="8"/>
    <n v="2628"/>
    <n v="1936.02"/>
    <x v="4"/>
    <x v="3"/>
    <n v="26280"/>
    <n v="3679.2000000000003"/>
    <n v="3240.599999999999"/>
    <n v="12.331050228310499"/>
  </r>
  <r>
    <x v="129"/>
    <s v="2024-03-15"/>
    <x v="2"/>
    <x v="0"/>
    <x v="11"/>
    <n v="5534"/>
    <n v="3448.74"/>
    <x v="4"/>
    <x v="2"/>
    <n v="55340"/>
    <n v="16048.599999999999"/>
    <n v="4804.0000000000073"/>
    <n v="8.680881821467306"/>
  </r>
  <r>
    <x v="130"/>
    <s v="2024-08-25"/>
    <x v="1"/>
    <x v="1"/>
    <x v="5"/>
    <n v="2285"/>
    <n v="1529.5"/>
    <x v="4"/>
    <x v="17"/>
    <n v="22850"/>
    <n v="3427.5"/>
    <n v="4127.5"/>
    <n v="18.063457330415755"/>
  </r>
  <r>
    <x v="131"/>
    <s v="2024-03-27"/>
    <x v="3"/>
    <x v="0"/>
    <x v="6"/>
    <n v="3918"/>
    <n v="3257.77"/>
    <x v="5"/>
    <x v="17"/>
    <n v="7836"/>
    <n v="1175.3999999999999"/>
    <n v="145.06000000000017"/>
    <n v="1.8511995916283841"/>
  </r>
  <r>
    <x v="132"/>
    <s v="2024-01-25"/>
    <x v="3"/>
    <x v="2"/>
    <x v="9"/>
    <n v="3942"/>
    <n v="2369.6"/>
    <x v="9"/>
    <x v="15"/>
    <n v="3942"/>
    <n v="354.78"/>
    <n v="1217.6200000000001"/>
    <n v="30.888381532217153"/>
  </r>
  <r>
    <x v="133"/>
    <s v="2024-11-20"/>
    <x v="0"/>
    <x v="1"/>
    <x v="7"/>
    <n v="2295"/>
    <n v="1445.36"/>
    <x v="0"/>
    <x v="35"/>
    <n v="11475"/>
    <n v="573.75"/>
    <n v="3674.4500000000007"/>
    <n v="32.021350762527241"/>
  </r>
  <r>
    <x v="134"/>
    <s v="2024-02-12"/>
    <x v="2"/>
    <x v="0"/>
    <x v="2"/>
    <n v="4139"/>
    <n v="2810.02"/>
    <x v="4"/>
    <x v="12"/>
    <n v="41390"/>
    <n v="9933.6"/>
    <n v="3356.1999999999989"/>
    <n v="8.1087219135056738"/>
  </r>
  <r>
    <x v="135"/>
    <s v="2024-05-01"/>
    <x v="3"/>
    <x v="0"/>
    <x v="0"/>
    <n v="4888"/>
    <n v="3521.75"/>
    <x v="8"/>
    <x v="1"/>
    <n v="14664"/>
    <n v="2492.88"/>
    <n v="1605.87"/>
    <n v="10.951104746317512"/>
  </r>
  <r>
    <x v="136"/>
    <s v="2024-08-18"/>
    <x v="1"/>
    <x v="0"/>
    <x v="6"/>
    <n v="2479"/>
    <n v="2104.21"/>
    <x v="3"/>
    <x v="35"/>
    <n v="14874"/>
    <n v="743.7"/>
    <n v="1505.0399999999997"/>
    <n v="10.118596208148444"/>
  </r>
  <r>
    <x v="137"/>
    <s v="2024-08-03"/>
    <x v="1"/>
    <x v="1"/>
    <x v="1"/>
    <n v="561"/>
    <n v="445.18"/>
    <x v="1"/>
    <x v="20"/>
    <n v="5049"/>
    <n v="656.37"/>
    <n v="386.0100000000001"/>
    <n v="7.6452762923351179"/>
  </r>
  <r>
    <x v="138"/>
    <s v="2024-02-09"/>
    <x v="0"/>
    <x v="1"/>
    <x v="5"/>
    <n v="1757"/>
    <n v="969.39"/>
    <x v="9"/>
    <x v="13"/>
    <n v="1757"/>
    <n v="140.56"/>
    <n v="647.04999999999995"/>
    <n v="36.826977803073419"/>
  </r>
  <r>
    <x v="139"/>
    <s v="2024-08-11"/>
    <x v="3"/>
    <x v="2"/>
    <x v="8"/>
    <n v="2425"/>
    <n v="1431.21"/>
    <x v="4"/>
    <x v="20"/>
    <n v="24250"/>
    <n v="3152.5"/>
    <n v="6785.4"/>
    <n v="27.98103092783505"/>
  </r>
  <r>
    <x v="140"/>
    <s v="2024-07-10"/>
    <x v="1"/>
    <x v="1"/>
    <x v="7"/>
    <n v="704"/>
    <n v="555.12"/>
    <x v="3"/>
    <x v="7"/>
    <n v="4224"/>
    <n v="42.24"/>
    <n v="851.03999999999974"/>
    <n v="20.147727272727266"/>
  </r>
  <r>
    <x v="141"/>
    <s v="2024-01-20"/>
    <x v="0"/>
    <x v="1"/>
    <x v="7"/>
    <n v="1428"/>
    <n v="1089.53"/>
    <x v="9"/>
    <x v="1"/>
    <n v="1428"/>
    <n v="242.76000000000002"/>
    <n v="95.710000000000008"/>
    <n v="6.7023809523809526"/>
  </r>
  <r>
    <x v="142"/>
    <s v="2024-04-19"/>
    <x v="1"/>
    <x v="0"/>
    <x v="11"/>
    <n v="2072"/>
    <n v="1291.3900000000001"/>
    <x v="0"/>
    <x v="18"/>
    <n v="10360"/>
    <n v="310.8"/>
    <n v="3592.2499999999991"/>
    <n v="34.674227799227793"/>
  </r>
  <r>
    <x v="143"/>
    <s v="2024-05-15"/>
    <x v="2"/>
    <x v="1"/>
    <x v="5"/>
    <n v="1989"/>
    <n v="1236.77"/>
    <x v="0"/>
    <x v="26"/>
    <n v="9945"/>
    <n v="3580.2"/>
    <n v="180.94999999999982"/>
    <n v="1.8195072900955238"/>
  </r>
  <r>
    <x v="144"/>
    <s v="2024-05-08"/>
    <x v="0"/>
    <x v="1"/>
    <x v="10"/>
    <n v="2227"/>
    <n v="1252.2"/>
    <x v="1"/>
    <x v="14"/>
    <n v="20043"/>
    <n v="1403.0100000000002"/>
    <n v="7370.1899999999987"/>
    <n v="36.771890435563535"/>
  </r>
  <r>
    <x v="145"/>
    <s v="2024-11-17"/>
    <x v="1"/>
    <x v="2"/>
    <x v="8"/>
    <n v="2248"/>
    <n v="1625.51"/>
    <x v="9"/>
    <x v="7"/>
    <n v="2248"/>
    <n v="22.48"/>
    <n v="600.01"/>
    <n v="26.690836298932386"/>
  </r>
  <r>
    <x v="146"/>
    <s v="2024-02-19"/>
    <x v="2"/>
    <x v="2"/>
    <x v="3"/>
    <n v="3840"/>
    <n v="2557.5100000000002"/>
    <x v="4"/>
    <x v="32"/>
    <n v="38400"/>
    <n v="12672"/>
    <n v="152.89999999999782"/>
    <n v="0.39817708333332763"/>
  </r>
  <r>
    <x v="147"/>
    <s v="2024-12-09"/>
    <x v="0"/>
    <x v="2"/>
    <x v="4"/>
    <n v="1536"/>
    <n v="1107.46"/>
    <x v="2"/>
    <x v="7"/>
    <n v="6144"/>
    <n v="61.44"/>
    <n v="1652.7199999999998"/>
    <n v="26.899739583333332"/>
  </r>
  <r>
    <x v="148"/>
    <s v="2024-01-09"/>
    <x v="1"/>
    <x v="2"/>
    <x v="3"/>
    <n v="2361"/>
    <n v="1802.63"/>
    <x v="1"/>
    <x v="25"/>
    <n v="21249"/>
    <n v="1274.94"/>
    <n v="3750.3899999999981"/>
    <n v="17.649724692926718"/>
  </r>
  <r>
    <x v="149"/>
    <s v="2024-10-05"/>
    <x v="0"/>
    <x v="1"/>
    <x v="10"/>
    <n v="1185"/>
    <n v="850.44"/>
    <x v="0"/>
    <x v="35"/>
    <n v="5925"/>
    <n v="296.25"/>
    <n v="1376.5499999999993"/>
    <n v="23.23291139240505"/>
  </r>
  <r>
    <x v="150"/>
    <s v="2024-09-15"/>
    <x v="3"/>
    <x v="0"/>
    <x v="6"/>
    <n v="3089"/>
    <n v="2156.67"/>
    <x v="1"/>
    <x v="15"/>
    <n v="27801"/>
    <n v="2502.0899999999997"/>
    <n v="5888.880000000001"/>
    <n v="21.182259630948529"/>
  </r>
  <r>
    <x v="151"/>
    <s v="2024-08-12"/>
    <x v="1"/>
    <x v="2"/>
    <x v="3"/>
    <n v="2494"/>
    <n v="2115.25"/>
    <x v="6"/>
    <x v="24"/>
    <n v="19952"/>
    <n v="4189.92"/>
    <n v="-1159.92"/>
    <n v="-5.8135525260625505"/>
  </r>
  <r>
    <x v="152"/>
    <s v="2024-05-05"/>
    <x v="0"/>
    <x v="1"/>
    <x v="1"/>
    <n v="1155"/>
    <n v="899.37"/>
    <x v="8"/>
    <x v="27"/>
    <n v="3465"/>
    <n v="381.15"/>
    <n v="385.7399999999999"/>
    <n v="11.13246753246753"/>
  </r>
  <r>
    <x v="153"/>
    <s v="2024-03-12"/>
    <x v="0"/>
    <x v="2"/>
    <x v="3"/>
    <n v="1931"/>
    <n v="1318.13"/>
    <x v="2"/>
    <x v="9"/>
    <n v="7724"/>
    <n v="1544.8000000000002"/>
    <n v="906.67999999999938"/>
    <n v="11.738477472812006"/>
  </r>
  <r>
    <x v="154"/>
    <s v="2024-07-26"/>
    <x v="0"/>
    <x v="2"/>
    <x v="8"/>
    <n v="2595"/>
    <n v="2135.44"/>
    <x v="9"/>
    <x v="0"/>
    <n v="2595"/>
    <n v="467.09999999999997"/>
    <n v="-7.5400000000000205"/>
    <n v="-0.29055876685934567"/>
  </r>
  <r>
    <x v="155"/>
    <s v="2024-06-27"/>
    <x v="0"/>
    <x v="0"/>
    <x v="2"/>
    <n v="3327"/>
    <n v="2087.84"/>
    <x v="0"/>
    <x v="13"/>
    <n v="16635"/>
    <n v="1330.8"/>
    <n v="4864.9999999999991"/>
    <n v="29.245566576495335"/>
  </r>
  <r>
    <x v="156"/>
    <s v="2024-05-14"/>
    <x v="2"/>
    <x v="1"/>
    <x v="5"/>
    <n v="1668"/>
    <n v="984.25"/>
    <x v="0"/>
    <x v="2"/>
    <n v="8340"/>
    <n v="2418.6"/>
    <n v="1000.1500000000001"/>
    <n v="11.992206235011992"/>
  </r>
  <r>
    <x v="157"/>
    <s v="2024-05-20"/>
    <x v="2"/>
    <x v="0"/>
    <x v="11"/>
    <n v="4927"/>
    <n v="2732.74"/>
    <x v="0"/>
    <x v="26"/>
    <n v="24635"/>
    <n v="8868.6"/>
    <n v="2102.7000000000007"/>
    <n v="8.5354170895068027"/>
  </r>
  <r>
    <x v="158"/>
    <s v="2024-01-02"/>
    <x v="3"/>
    <x v="1"/>
    <x v="1"/>
    <n v="1490"/>
    <n v="1097.93"/>
    <x v="7"/>
    <x v="4"/>
    <n v="10430"/>
    <n v="2398.9"/>
    <n v="345.58999999999969"/>
    <n v="3.3134228187919432"/>
  </r>
  <r>
    <x v="159"/>
    <s v="2024-09-07"/>
    <x v="3"/>
    <x v="1"/>
    <x v="7"/>
    <n v="700"/>
    <n v="568.83000000000004"/>
    <x v="7"/>
    <x v="9"/>
    <n v="4900"/>
    <n v="980"/>
    <n v="-61.8100000000004"/>
    <n v="-1.2614285714285796"/>
  </r>
  <r>
    <x v="160"/>
    <s v="2024-03-13"/>
    <x v="1"/>
    <x v="2"/>
    <x v="3"/>
    <n v="3011"/>
    <n v="2103.5700000000002"/>
    <x v="4"/>
    <x v="3"/>
    <n v="30110"/>
    <n v="4215.4000000000005"/>
    <n v="4858.8999999999987"/>
    <n v="16.137163732979072"/>
  </r>
  <r>
    <x v="161"/>
    <s v="2024-07-14"/>
    <x v="2"/>
    <x v="2"/>
    <x v="3"/>
    <n v="2522"/>
    <n v="1490.1"/>
    <x v="0"/>
    <x v="10"/>
    <n v="12610"/>
    <n v="4413.5"/>
    <n v="746"/>
    <n v="5.9159397303727195"/>
  </r>
  <r>
    <x v="162"/>
    <s v="2024-12-07"/>
    <x v="2"/>
    <x v="0"/>
    <x v="11"/>
    <n v="2924"/>
    <n v="2327.14"/>
    <x v="6"/>
    <x v="12"/>
    <n v="23392"/>
    <n v="5614.08"/>
    <n v="-839.19999999999891"/>
    <n v="-3.5875512995895988"/>
  </r>
  <r>
    <x v="163"/>
    <s v="2024-04-11"/>
    <x v="3"/>
    <x v="0"/>
    <x v="0"/>
    <n v="2308"/>
    <n v="1433.23"/>
    <x v="0"/>
    <x v="9"/>
    <n v="11540"/>
    <n v="2308"/>
    <n v="2065.8500000000004"/>
    <n v="17.901646447140386"/>
  </r>
  <r>
    <x v="164"/>
    <s v="2024-06-25"/>
    <x v="3"/>
    <x v="1"/>
    <x v="10"/>
    <n v="1198"/>
    <n v="782.63"/>
    <x v="3"/>
    <x v="3"/>
    <n v="7188"/>
    <n v="1006.32"/>
    <n v="1485.9"/>
    <n v="20.671953255425709"/>
  </r>
  <r>
    <x v="165"/>
    <s v="2024-05-06"/>
    <x v="3"/>
    <x v="2"/>
    <x v="8"/>
    <n v="1637"/>
    <n v="1306.17"/>
    <x v="1"/>
    <x v="6"/>
    <n v="14733"/>
    <n v="1473.3000000000002"/>
    <n v="1504.1699999999992"/>
    <n v="10.209529627367129"/>
  </r>
  <r>
    <x v="166"/>
    <s v="2024-11-24"/>
    <x v="2"/>
    <x v="2"/>
    <x v="8"/>
    <n v="3683"/>
    <n v="2945.99"/>
    <x v="0"/>
    <x v="36"/>
    <n v="18415"/>
    <n v="6997.7"/>
    <n v="-3312.6499999999987"/>
    <n v="-17.988867770838983"/>
  </r>
  <r>
    <x v="167"/>
    <s v="2024-01-14"/>
    <x v="0"/>
    <x v="1"/>
    <x v="10"/>
    <n v="1776"/>
    <n v="1105.21"/>
    <x v="9"/>
    <x v="17"/>
    <n v="1776"/>
    <n v="266.39999999999998"/>
    <n v="404.39"/>
    <n v="22.769707207207208"/>
  </r>
  <r>
    <x v="168"/>
    <s v="2024-12-30"/>
    <x v="2"/>
    <x v="2"/>
    <x v="3"/>
    <n v="1903"/>
    <n v="1329"/>
    <x v="6"/>
    <x v="2"/>
    <n v="15224"/>
    <n v="4414.96"/>
    <n v="177.03999999999996"/>
    <n v="1.1629006831318967"/>
  </r>
  <r>
    <x v="169"/>
    <s v="2024-07-17"/>
    <x v="0"/>
    <x v="1"/>
    <x v="10"/>
    <n v="797"/>
    <n v="646.87"/>
    <x v="2"/>
    <x v="0"/>
    <n v="3188"/>
    <n v="573.84"/>
    <n v="26.67999999999995"/>
    <n v="0.83688833124215645"/>
  </r>
  <r>
    <x v="170"/>
    <s v="2024-11-11"/>
    <x v="0"/>
    <x v="1"/>
    <x v="10"/>
    <n v="778"/>
    <n v="558.5"/>
    <x v="8"/>
    <x v="8"/>
    <n v="2334"/>
    <n v="443.46"/>
    <n v="215.04000000000002"/>
    <n v="9.2133676092544992"/>
  </r>
  <r>
    <x v="171"/>
    <s v="2024-06-29"/>
    <x v="1"/>
    <x v="2"/>
    <x v="9"/>
    <n v="3298"/>
    <n v="2001.38"/>
    <x v="3"/>
    <x v="7"/>
    <n v="19788"/>
    <n v="197.88"/>
    <n v="7581.8399999999992"/>
    <n v="38.315342631898112"/>
  </r>
  <r>
    <x v="172"/>
    <s v="2024-04-21"/>
    <x v="1"/>
    <x v="0"/>
    <x v="11"/>
    <n v="5017"/>
    <n v="3536"/>
    <x v="9"/>
    <x v="16"/>
    <n v="5017"/>
    <n v="602.04"/>
    <n v="878.96"/>
    <n v="17.519633246960336"/>
  </r>
  <r>
    <x v="173"/>
    <s v="2024-04-25"/>
    <x v="0"/>
    <x v="0"/>
    <x v="0"/>
    <n v="2653"/>
    <n v="1894.63"/>
    <x v="6"/>
    <x v="37"/>
    <n v="21224"/>
    <n v="848.96"/>
    <n v="5217.9999999999991"/>
    <n v="24.585375047116468"/>
  </r>
  <r>
    <x v="174"/>
    <s v="2024-07-14"/>
    <x v="1"/>
    <x v="2"/>
    <x v="3"/>
    <n v="3598"/>
    <n v="2600.21"/>
    <x v="6"/>
    <x v="23"/>
    <n v="28784"/>
    <n v="6332.4800000000005"/>
    <n v="1649.8399999999992"/>
    <n v="5.7317954419121708"/>
  </r>
  <r>
    <x v="175"/>
    <s v="2024-03-24"/>
    <x v="2"/>
    <x v="2"/>
    <x v="3"/>
    <n v="1690"/>
    <n v="1237.99"/>
    <x v="2"/>
    <x v="23"/>
    <n v="6760"/>
    <n v="1487.2"/>
    <n v="320.83999999999992"/>
    <n v="4.7461538461538453"/>
  </r>
  <r>
    <x v="176"/>
    <s v="2024-06-18"/>
    <x v="0"/>
    <x v="1"/>
    <x v="1"/>
    <n v="1354"/>
    <n v="969.52"/>
    <x v="6"/>
    <x v="13"/>
    <n v="10832"/>
    <n v="866.56000000000006"/>
    <n v="2209.2800000000002"/>
    <n v="20.395864106351553"/>
  </r>
  <r>
    <x v="177"/>
    <s v="2024-08-04"/>
    <x v="2"/>
    <x v="1"/>
    <x v="1"/>
    <n v="1955"/>
    <n v="1289.92"/>
    <x v="3"/>
    <x v="29"/>
    <n v="11730"/>
    <n v="3636.3"/>
    <n v="354.17999999999938"/>
    <n v="3.0194373401534476"/>
  </r>
  <r>
    <x v="178"/>
    <s v="2024-08-12"/>
    <x v="2"/>
    <x v="0"/>
    <x v="11"/>
    <n v="4331"/>
    <n v="2503.61"/>
    <x v="0"/>
    <x v="2"/>
    <n v="21655"/>
    <n v="6279.95"/>
    <n v="2856.9999999999991"/>
    <n v="13.193257908104361"/>
  </r>
  <r>
    <x v="179"/>
    <s v="2024-04-06"/>
    <x v="3"/>
    <x v="0"/>
    <x v="6"/>
    <n v="4199"/>
    <n v="2652.11"/>
    <x v="8"/>
    <x v="37"/>
    <n v="12597"/>
    <n v="503.88"/>
    <n v="4136.79"/>
    <n v="32.839485591807573"/>
  </r>
  <r>
    <x v="180"/>
    <s v="2024-02-17"/>
    <x v="0"/>
    <x v="2"/>
    <x v="9"/>
    <n v="1606"/>
    <n v="1063.6199999999999"/>
    <x v="0"/>
    <x v="6"/>
    <n v="8030"/>
    <n v="803"/>
    <n v="1908.9000000000005"/>
    <n v="23.772104607721054"/>
  </r>
  <r>
    <x v="181"/>
    <s v="2024-05-21"/>
    <x v="0"/>
    <x v="2"/>
    <x v="3"/>
    <n v="3372"/>
    <n v="2600.9699999999998"/>
    <x v="4"/>
    <x v="4"/>
    <n v="33720"/>
    <n v="7755.6"/>
    <n v="-45.299999999997453"/>
    <n v="-0.13434163701066859"/>
  </r>
  <r>
    <x v="182"/>
    <s v="2024-06-13"/>
    <x v="1"/>
    <x v="2"/>
    <x v="4"/>
    <n v="1937"/>
    <n v="1379.23"/>
    <x v="0"/>
    <x v="27"/>
    <n v="9685"/>
    <n v="1065.3499999999999"/>
    <n v="1723.5000000000005"/>
    <n v="17.795560144553438"/>
  </r>
  <r>
    <x v="183"/>
    <s v="2024-11-13"/>
    <x v="2"/>
    <x v="1"/>
    <x v="5"/>
    <n v="803"/>
    <n v="535.97"/>
    <x v="1"/>
    <x v="12"/>
    <n v="7227"/>
    <n v="1734.48"/>
    <n v="668.78999999999951"/>
    <n v="9.2540473225404671"/>
  </r>
  <r>
    <x v="184"/>
    <s v="2024-03-11"/>
    <x v="2"/>
    <x v="0"/>
    <x v="0"/>
    <n v="3050"/>
    <n v="2265.9699999999998"/>
    <x v="2"/>
    <x v="38"/>
    <n v="12200"/>
    <n v="3904"/>
    <n v="-767.8799999999992"/>
    <n v="-6.294098360655731"/>
  </r>
  <r>
    <x v="185"/>
    <s v="2024-10-06"/>
    <x v="1"/>
    <x v="2"/>
    <x v="4"/>
    <n v="1631"/>
    <n v="1307.7"/>
    <x v="0"/>
    <x v="6"/>
    <n v="8155"/>
    <n v="815.5"/>
    <n v="801"/>
    <n v="9.8221949724095641"/>
  </r>
  <r>
    <x v="186"/>
    <s v="2024-03-08"/>
    <x v="3"/>
    <x v="1"/>
    <x v="7"/>
    <n v="1276"/>
    <n v="930.39"/>
    <x v="6"/>
    <x v="24"/>
    <n v="10208"/>
    <n v="2143.6799999999998"/>
    <n v="621.20000000000027"/>
    <n v="6.0854231974921662"/>
  </r>
  <r>
    <x v="187"/>
    <s v="2024-10-04"/>
    <x v="3"/>
    <x v="0"/>
    <x v="6"/>
    <n v="4119"/>
    <n v="3181.53"/>
    <x v="1"/>
    <x v="8"/>
    <n v="37071"/>
    <n v="7043.49"/>
    <n v="1393.7399999999998"/>
    <n v="3.7596504005826654"/>
  </r>
  <r>
    <x v="188"/>
    <s v="2024-09-15"/>
    <x v="0"/>
    <x v="0"/>
    <x v="2"/>
    <n v="3349"/>
    <n v="2694.42"/>
    <x v="5"/>
    <x v="12"/>
    <n v="6698"/>
    <n v="1607.52"/>
    <n v="-298.36000000000013"/>
    <n v="-4.4544640191101843"/>
  </r>
  <r>
    <x v="189"/>
    <s v="2024-08-30"/>
    <x v="2"/>
    <x v="2"/>
    <x v="8"/>
    <n v="3338"/>
    <n v="2193.3000000000002"/>
    <x v="4"/>
    <x v="12"/>
    <n v="33380"/>
    <n v="8011.2"/>
    <n v="3435.8"/>
    <n v="10.292989814260038"/>
  </r>
  <r>
    <x v="190"/>
    <s v="2024-03-02"/>
    <x v="0"/>
    <x v="2"/>
    <x v="9"/>
    <n v="2186"/>
    <n v="1501.66"/>
    <x v="6"/>
    <x v="7"/>
    <n v="17488"/>
    <n v="174.88"/>
    <n v="5299.8399999999992"/>
    <n v="30.305580969807867"/>
  </r>
  <r>
    <x v="191"/>
    <s v="2024-06-16"/>
    <x v="2"/>
    <x v="0"/>
    <x v="2"/>
    <n v="2807"/>
    <n v="2357.71"/>
    <x v="1"/>
    <x v="26"/>
    <n v="25263"/>
    <n v="9094.68"/>
    <n v="-5051.07"/>
    <n v="-19.993943712148198"/>
  </r>
  <r>
    <x v="192"/>
    <s v="2024-08-16"/>
    <x v="3"/>
    <x v="2"/>
    <x v="4"/>
    <n v="3750"/>
    <n v="2367.13"/>
    <x v="9"/>
    <x v="16"/>
    <n v="3750"/>
    <n v="450"/>
    <n v="932.86999999999989"/>
    <n v="24.876533333333331"/>
  </r>
  <r>
    <x v="193"/>
    <s v="2024-01-17"/>
    <x v="2"/>
    <x v="2"/>
    <x v="9"/>
    <n v="3456"/>
    <n v="2246.59"/>
    <x v="3"/>
    <x v="28"/>
    <n v="20736"/>
    <n v="8294.4"/>
    <n v="-1037.9400000000005"/>
    <n v="-5.0054976851851878"/>
  </r>
  <r>
    <x v="194"/>
    <s v="2024-04-27"/>
    <x v="0"/>
    <x v="0"/>
    <x v="11"/>
    <n v="5416"/>
    <n v="3185.29"/>
    <x v="1"/>
    <x v="8"/>
    <n v="48744"/>
    <n v="9261.36"/>
    <n v="10815.029999999999"/>
    <n v="22.187407680945345"/>
  </r>
  <r>
    <x v="195"/>
    <s v="2024-11-25"/>
    <x v="1"/>
    <x v="0"/>
    <x v="0"/>
    <n v="4416"/>
    <n v="2516.09"/>
    <x v="5"/>
    <x v="18"/>
    <n v="8832"/>
    <n v="264.95999999999998"/>
    <n v="3534.8599999999997"/>
    <n v="40.023324275362313"/>
  </r>
  <r>
    <x v="196"/>
    <s v="2024-05-27"/>
    <x v="0"/>
    <x v="0"/>
    <x v="6"/>
    <n v="3997"/>
    <n v="2888.44"/>
    <x v="6"/>
    <x v="21"/>
    <n v="31976"/>
    <n v="639.52"/>
    <n v="8228.9599999999991"/>
    <n v="25.734801100825617"/>
  </r>
  <r>
    <x v="197"/>
    <s v="2024-01-09"/>
    <x v="0"/>
    <x v="1"/>
    <x v="5"/>
    <n v="627"/>
    <n v="450.53"/>
    <x v="9"/>
    <x v="4"/>
    <n v="627"/>
    <n v="144.21"/>
    <n v="32.260000000000019"/>
    <n v="5.145135566188201"/>
  </r>
  <r>
    <x v="198"/>
    <s v="2024-01-05"/>
    <x v="1"/>
    <x v="1"/>
    <x v="7"/>
    <n v="733"/>
    <n v="484.48"/>
    <x v="8"/>
    <x v="34"/>
    <n v="2199"/>
    <n v="549.75"/>
    <n v="195.80999999999995"/>
    <n v="8.9045020463847191"/>
  </r>
  <r>
    <x v="199"/>
    <s v="2024-01-26"/>
    <x v="3"/>
    <x v="0"/>
    <x v="2"/>
    <n v="4789"/>
    <n v="3403.63"/>
    <x v="0"/>
    <x v="12"/>
    <n v="23945"/>
    <n v="5746.8"/>
    <n v="1180.0499999999984"/>
    <n v="4.9281687199832884"/>
  </r>
  <r>
    <x v="200"/>
    <s v="2024-06-20"/>
    <x v="1"/>
    <x v="1"/>
    <x v="5"/>
    <n v="557"/>
    <n v="470.1"/>
    <x v="3"/>
    <x v="9"/>
    <n v="3342"/>
    <n v="668.40000000000009"/>
    <n v="-147.00000000000045"/>
    <n v="-4.3985637342908577"/>
  </r>
  <r>
    <x v="201"/>
    <s v="2024-04-04"/>
    <x v="2"/>
    <x v="2"/>
    <x v="9"/>
    <n v="2018"/>
    <n v="1130.4000000000001"/>
    <x v="6"/>
    <x v="26"/>
    <n v="16144"/>
    <n v="5811.84"/>
    <n v="1288.9599999999991"/>
    <n v="7.9841427155599556"/>
  </r>
  <r>
    <x v="202"/>
    <s v="2024-05-22"/>
    <x v="0"/>
    <x v="2"/>
    <x v="9"/>
    <n v="2628"/>
    <n v="1554.5"/>
    <x v="4"/>
    <x v="37"/>
    <n v="26280"/>
    <n v="1051.2"/>
    <n v="9683.7999999999993"/>
    <n v="36.848554033485534"/>
  </r>
  <r>
    <x v="203"/>
    <s v="2024-09-10"/>
    <x v="1"/>
    <x v="0"/>
    <x v="2"/>
    <n v="4290"/>
    <n v="3403.82"/>
    <x v="6"/>
    <x v="23"/>
    <n v="34320"/>
    <n v="7550.4"/>
    <n v="-460.96000000000095"/>
    <n v="-1.3431235431235458"/>
  </r>
  <r>
    <x v="204"/>
    <s v="2024-03-15"/>
    <x v="2"/>
    <x v="2"/>
    <x v="9"/>
    <n v="2073"/>
    <n v="1730.21"/>
    <x v="6"/>
    <x v="19"/>
    <n v="16584"/>
    <n v="4975.2"/>
    <n v="-2232.88"/>
    <n v="-13.464061746261457"/>
  </r>
  <r>
    <x v="205"/>
    <s v="2024-03-06"/>
    <x v="2"/>
    <x v="1"/>
    <x v="5"/>
    <n v="1179"/>
    <n v="953.17"/>
    <x v="9"/>
    <x v="5"/>
    <n v="1179"/>
    <n v="436.23"/>
    <n v="-210.39999999999998"/>
    <n v="-17.845631891433417"/>
  </r>
  <r>
    <x v="206"/>
    <s v="2024-11-28"/>
    <x v="1"/>
    <x v="2"/>
    <x v="9"/>
    <n v="1560"/>
    <n v="925.23"/>
    <x v="7"/>
    <x v="37"/>
    <n v="10920"/>
    <n v="436.8"/>
    <n v="4006.5899999999992"/>
    <n v="36.690384615384609"/>
  </r>
  <r>
    <x v="207"/>
    <s v="2024-09-22"/>
    <x v="2"/>
    <x v="1"/>
    <x v="1"/>
    <n v="2271"/>
    <n v="1461.87"/>
    <x v="3"/>
    <x v="39"/>
    <n v="13626"/>
    <n v="4632.84"/>
    <n v="221.94000000000051"/>
    <n v="1.628797886393663"/>
  </r>
  <r>
    <x v="208"/>
    <s v="2024-05-28"/>
    <x v="3"/>
    <x v="0"/>
    <x v="11"/>
    <n v="2884"/>
    <n v="1595.59"/>
    <x v="2"/>
    <x v="7"/>
    <n v="11536"/>
    <n v="115.36"/>
    <n v="5038.2800000000007"/>
    <n v="43.674410540915396"/>
  </r>
  <r>
    <x v="209"/>
    <s v="2024-12-16"/>
    <x v="1"/>
    <x v="1"/>
    <x v="7"/>
    <n v="514"/>
    <n v="337.28"/>
    <x v="6"/>
    <x v="23"/>
    <n v="4112"/>
    <n v="904.64"/>
    <n v="509.12000000000023"/>
    <n v="12.381322957198449"/>
  </r>
  <r>
    <x v="210"/>
    <s v="2024-09-08"/>
    <x v="3"/>
    <x v="1"/>
    <x v="5"/>
    <n v="2399"/>
    <n v="1624.94"/>
    <x v="9"/>
    <x v="25"/>
    <n v="2399"/>
    <n v="143.94"/>
    <n v="630.11999999999989"/>
    <n v="26.265944143393078"/>
  </r>
  <r>
    <x v="211"/>
    <s v="2024-06-02"/>
    <x v="3"/>
    <x v="0"/>
    <x v="0"/>
    <n v="4230"/>
    <n v="3400.97"/>
    <x v="2"/>
    <x v="3"/>
    <n v="16920"/>
    <n v="2368.8000000000002"/>
    <n v="947.32000000000062"/>
    <n v="5.5988179669030771"/>
  </r>
  <r>
    <x v="212"/>
    <s v="2024-07-27"/>
    <x v="2"/>
    <x v="1"/>
    <x v="5"/>
    <n v="1674"/>
    <n v="1229.81"/>
    <x v="1"/>
    <x v="36"/>
    <n v="15066"/>
    <n v="5725.08"/>
    <n v="-1727.369999999999"/>
    <n v="-11.465352449223412"/>
  </r>
  <r>
    <x v="213"/>
    <s v="2024-10-03"/>
    <x v="1"/>
    <x v="2"/>
    <x v="9"/>
    <n v="3841"/>
    <n v="3223.06"/>
    <x v="4"/>
    <x v="8"/>
    <n v="38410"/>
    <n v="7297.9"/>
    <n v="-1118.4999999999982"/>
    <n v="-2.9120020827909352"/>
  </r>
  <r>
    <x v="214"/>
    <s v="2024-05-19"/>
    <x v="2"/>
    <x v="0"/>
    <x v="6"/>
    <n v="3042"/>
    <n v="2454.62"/>
    <x v="6"/>
    <x v="19"/>
    <n v="24336"/>
    <n v="7300.8"/>
    <n v="-2601.7599999999993"/>
    <n v="-10.690992767915843"/>
  </r>
  <r>
    <x v="215"/>
    <s v="2024-03-31"/>
    <x v="2"/>
    <x v="1"/>
    <x v="5"/>
    <n v="1983"/>
    <n v="1647.32"/>
    <x v="9"/>
    <x v="29"/>
    <n v="1983"/>
    <n v="614.73"/>
    <n v="-279.04999999999995"/>
    <n v="-14.07211296016137"/>
  </r>
  <r>
    <x v="216"/>
    <s v="2024-11-14"/>
    <x v="2"/>
    <x v="2"/>
    <x v="9"/>
    <n v="1536"/>
    <n v="1003.09"/>
    <x v="8"/>
    <x v="29"/>
    <n v="4608"/>
    <n v="1428.48"/>
    <n v="170.25"/>
    <n v="3.6946614583333335"/>
  </r>
  <r>
    <x v="217"/>
    <s v="2024-09-11"/>
    <x v="1"/>
    <x v="1"/>
    <x v="5"/>
    <n v="1010"/>
    <n v="597.98"/>
    <x v="8"/>
    <x v="11"/>
    <n v="3030"/>
    <n v="0"/>
    <n v="1236.06"/>
    <n v="40.794059405940594"/>
  </r>
  <r>
    <x v="218"/>
    <s v="2024-05-15"/>
    <x v="0"/>
    <x v="1"/>
    <x v="7"/>
    <n v="1691"/>
    <n v="1107.18"/>
    <x v="5"/>
    <x v="35"/>
    <n v="3382"/>
    <n v="169.10000000000002"/>
    <n v="998.53999999999985"/>
    <n v="29.525133057362503"/>
  </r>
  <r>
    <x v="219"/>
    <s v="2024-02-06"/>
    <x v="3"/>
    <x v="2"/>
    <x v="8"/>
    <n v="2959"/>
    <n v="2151.7600000000002"/>
    <x v="8"/>
    <x v="35"/>
    <n v="8877"/>
    <n v="443.85"/>
    <n v="1977.8699999999994"/>
    <n v="22.280838120986811"/>
  </r>
  <r>
    <x v="220"/>
    <s v="2024-12-23"/>
    <x v="1"/>
    <x v="2"/>
    <x v="8"/>
    <n v="3205"/>
    <n v="2558.52"/>
    <x v="8"/>
    <x v="14"/>
    <n v="9615"/>
    <n v="673.05000000000007"/>
    <n v="1266.3900000000003"/>
    <n v="13.170982839313575"/>
  </r>
  <r>
    <x v="221"/>
    <s v="2024-06-26"/>
    <x v="1"/>
    <x v="1"/>
    <x v="1"/>
    <n v="677"/>
    <n v="468.81"/>
    <x v="6"/>
    <x v="16"/>
    <n v="5416"/>
    <n v="649.91999999999996"/>
    <n v="1015.6"/>
    <n v="18.751846381093056"/>
  </r>
  <r>
    <x v="222"/>
    <s v="2024-02-04"/>
    <x v="3"/>
    <x v="1"/>
    <x v="7"/>
    <n v="2276"/>
    <n v="1699.79"/>
    <x v="7"/>
    <x v="14"/>
    <n v="15932"/>
    <n v="1115.24"/>
    <n v="2918.2300000000014"/>
    <n v="18.316783831282962"/>
  </r>
  <r>
    <x v="223"/>
    <s v="2024-11-25"/>
    <x v="1"/>
    <x v="0"/>
    <x v="11"/>
    <n v="4844"/>
    <n v="3981.67"/>
    <x v="9"/>
    <x v="4"/>
    <n v="4844"/>
    <n v="1114.1200000000001"/>
    <n v="-251.79000000000019"/>
    <n v="-5.197976878612721"/>
  </r>
  <r>
    <x v="224"/>
    <s v="2024-07-27"/>
    <x v="0"/>
    <x v="1"/>
    <x v="7"/>
    <n v="1909"/>
    <n v="1529.38"/>
    <x v="7"/>
    <x v="6"/>
    <n v="13363"/>
    <n v="1336.3000000000002"/>
    <n v="1321.04"/>
    <n v="9.8858040859088536"/>
  </r>
  <r>
    <x v="225"/>
    <s v="2024-10-11"/>
    <x v="3"/>
    <x v="0"/>
    <x v="11"/>
    <n v="3304"/>
    <n v="2611.87"/>
    <x v="7"/>
    <x v="30"/>
    <n v="23128"/>
    <n v="3700.48"/>
    <n v="1144.4299999999998"/>
    <n v="4.9482445520581102"/>
  </r>
  <r>
    <x v="226"/>
    <s v="2024-07-13"/>
    <x v="1"/>
    <x v="0"/>
    <x v="2"/>
    <n v="4742"/>
    <n v="3874.02"/>
    <x v="6"/>
    <x v="35"/>
    <n v="37936"/>
    <n v="1896.8000000000002"/>
    <n v="5047.04"/>
    <n v="13.304091100801349"/>
  </r>
  <r>
    <x v="227"/>
    <s v="2024-08-20"/>
    <x v="1"/>
    <x v="1"/>
    <x v="5"/>
    <n v="1360"/>
    <n v="816.22"/>
    <x v="8"/>
    <x v="11"/>
    <n v="4080"/>
    <n v="0"/>
    <n v="1631.3400000000001"/>
    <n v="39.983823529411765"/>
  </r>
  <r>
    <x v="228"/>
    <s v="2024-06-05"/>
    <x v="2"/>
    <x v="2"/>
    <x v="3"/>
    <n v="3802"/>
    <n v="2647.54"/>
    <x v="1"/>
    <x v="38"/>
    <n v="34218"/>
    <n v="10949.76"/>
    <n v="-559.6200000000008"/>
    <n v="-1.635455023671754"/>
  </r>
  <r>
    <x v="229"/>
    <s v="2024-05-23"/>
    <x v="0"/>
    <x v="2"/>
    <x v="9"/>
    <n v="1526"/>
    <n v="1295.73"/>
    <x v="1"/>
    <x v="18"/>
    <n v="13734"/>
    <n v="412.02"/>
    <n v="1660.4100000000003"/>
    <n v="12.089777195281785"/>
  </r>
  <r>
    <x v="230"/>
    <s v="2024-03-05"/>
    <x v="0"/>
    <x v="0"/>
    <x v="0"/>
    <n v="3571"/>
    <n v="2344.52"/>
    <x v="2"/>
    <x v="23"/>
    <n v="14284"/>
    <n v="3142.48"/>
    <n v="1763.44"/>
    <n v="12.345561467376086"/>
  </r>
  <r>
    <x v="231"/>
    <s v="2024-08-18"/>
    <x v="1"/>
    <x v="0"/>
    <x v="2"/>
    <n v="3525"/>
    <n v="2847.09"/>
    <x v="9"/>
    <x v="13"/>
    <n v="3525"/>
    <n v="282"/>
    <n v="395.90999999999985"/>
    <n v="11.231489361702124"/>
  </r>
  <r>
    <x v="232"/>
    <s v="2024-06-22"/>
    <x v="0"/>
    <x v="0"/>
    <x v="0"/>
    <n v="3904"/>
    <n v="3188.6"/>
    <x v="3"/>
    <x v="14"/>
    <n v="23424"/>
    <n v="1639.68"/>
    <n v="2652.7200000000012"/>
    <n v="11.324795081967217"/>
  </r>
  <r>
    <x v="233"/>
    <s v="2024-08-05"/>
    <x v="2"/>
    <x v="2"/>
    <x v="4"/>
    <n v="3444"/>
    <n v="2686.21"/>
    <x v="3"/>
    <x v="39"/>
    <n v="20664"/>
    <n v="7025.76"/>
    <n v="-2479.0200000000004"/>
    <n v="-11.996806039488968"/>
  </r>
  <r>
    <x v="234"/>
    <s v="2024-07-21"/>
    <x v="2"/>
    <x v="0"/>
    <x v="2"/>
    <n v="3098"/>
    <n v="2172.13"/>
    <x v="1"/>
    <x v="12"/>
    <n v="27882"/>
    <n v="6691.6799999999994"/>
    <n v="1641.1499999999987"/>
    <n v="5.8860555196901174"/>
  </r>
  <r>
    <x v="235"/>
    <s v="2024-11-12"/>
    <x v="3"/>
    <x v="2"/>
    <x v="8"/>
    <n v="2445"/>
    <n v="1985.02"/>
    <x v="5"/>
    <x v="8"/>
    <n v="4890"/>
    <n v="929.1"/>
    <n v="-9.1399999999999864"/>
    <n v="-0.18691206543967254"/>
  </r>
  <r>
    <x v="236"/>
    <s v="2024-09-29"/>
    <x v="1"/>
    <x v="2"/>
    <x v="4"/>
    <n v="1599"/>
    <n v="1189.17"/>
    <x v="9"/>
    <x v="17"/>
    <n v="1599"/>
    <n v="239.85"/>
    <n v="169.97999999999993"/>
    <n v="10.630393996247649"/>
  </r>
  <r>
    <x v="237"/>
    <s v="2024-07-02"/>
    <x v="1"/>
    <x v="2"/>
    <x v="3"/>
    <n v="3537"/>
    <n v="2108.1999999999998"/>
    <x v="2"/>
    <x v="11"/>
    <n v="14148"/>
    <n v="0"/>
    <n v="5715.2000000000007"/>
    <n v="40.395815662991239"/>
  </r>
  <r>
    <x v="238"/>
    <s v="2024-07-06"/>
    <x v="3"/>
    <x v="0"/>
    <x v="2"/>
    <n v="3884"/>
    <n v="2991.94"/>
    <x v="5"/>
    <x v="8"/>
    <n v="7768"/>
    <n v="1475.92"/>
    <n v="308.19999999999982"/>
    <n v="3.9675592173017487"/>
  </r>
  <r>
    <x v="239"/>
    <s v="2024-04-29"/>
    <x v="1"/>
    <x v="0"/>
    <x v="0"/>
    <n v="5335"/>
    <n v="3122.99"/>
    <x v="0"/>
    <x v="35"/>
    <n v="26675"/>
    <n v="1333.75"/>
    <n v="9726.3000000000011"/>
    <n v="36.462230552952207"/>
  </r>
  <r>
    <x v="240"/>
    <s v="2024-03-08"/>
    <x v="2"/>
    <x v="1"/>
    <x v="10"/>
    <n v="1146"/>
    <n v="913.05"/>
    <x v="4"/>
    <x v="24"/>
    <n v="11460"/>
    <n v="2406.6"/>
    <n v="-77.099999999999909"/>
    <n v="-0.67277486910994688"/>
  </r>
  <r>
    <x v="241"/>
    <s v="2024-01-01"/>
    <x v="3"/>
    <x v="1"/>
    <x v="7"/>
    <n v="1349"/>
    <n v="918.51"/>
    <x v="6"/>
    <x v="27"/>
    <n v="10792"/>
    <n v="1187.1200000000001"/>
    <n v="2256.8000000000002"/>
    <n v="20.911786508524834"/>
  </r>
  <r>
    <x v="242"/>
    <s v="2024-08-26"/>
    <x v="1"/>
    <x v="1"/>
    <x v="10"/>
    <n v="931"/>
    <n v="739.05"/>
    <x v="1"/>
    <x v="12"/>
    <n v="8379"/>
    <n v="2010.96"/>
    <n v="-283.40999999999985"/>
    <n v="-3.3823845327604705"/>
  </r>
  <r>
    <x v="243"/>
    <s v="2024-04-24"/>
    <x v="1"/>
    <x v="1"/>
    <x v="5"/>
    <n v="905"/>
    <n v="655.53"/>
    <x v="1"/>
    <x v="14"/>
    <n v="8145"/>
    <n v="570.15000000000009"/>
    <n v="1675.0800000000004"/>
    <n v="20.565745856353594"/>
  </r>
  <r>
    <x v="244"/>
    <s v="2024-12-02"/>
    <x v="2"/>
    <x v="0"/>
    <x v="0"/>
    <n v="5791"/>
    <n v="3554.38"/>
    <x v="6"/>
    <x v="29"/>
    <n v="46328"/>
    <n v="14361.68"/>
    <n v="3531.2799999999988"/>
    <n v="7.6223450181315808"/>
  </r>
  <r>
    <x v="245"/>
    <s v="2024-11-24"/>
    <x v="3"/>
    <x v="2"/>
    <x v="9"/>
    <n v="3876"/>
    <n v="2469.29"/>
    <x v="6"/>
    <x v="14"/>
    <n v="31008"/>
    <n v="2170.5600000000004"/>
    <n v="9083.119999999999"/>
    <n v="29.292827657378741"/>
  </r>
  <r>
    <x v="246"/>
    <s v="2024-05-29"/>
    <x v="1"/>
    <x v="1"/>
    <x v="10"/>
    <n v="2120"/>
    <n v="1373.44"/>
    <x v="0"/>
    <x v="20"/>
    <n v="10600"/>
    <n v="1378"/>
    <n v="2354.7999999999993"/>
    <n v="22.215094339622635"/>
  </r>
  <r>
    <x v="247"/>
    <s v="2024-11-10"/>
    <x v="0"/>
    <x v="2"/>
    <x v="8"/>
    <n v="2837"/>
    <n v="2290.09"/>
    <x v="1"/>
    <x v="7"/>
    <n v="25533"/>
    <n v="255.33"/>
    <n v="4666.8599999999988"/>
    <n v="18.277758195276697"/>
  </r>
  <r>
    <x v="248"/>
    <s v="2024-12-30"/>
    <x v="1"/>
    <x v="2"/>
    <x v="3"/>
    <n v="3103"/>
    <n v="2279.4499999999998"/>
    <x v="5"/>
    <x v="27"/>
    <n v="6206"/>
    <n v="682.66"/>
    <n v="964.4400000000004"/>
    <n v="15.54044473090558"/>
  </r>
  <r>
    <x v="249"/>
    <s v="2024-01-15"/>
    <x v="1"/>
    <x v="2"/>
    <x v="4"/>
    <n v="3162"/>
    <n v="2420.7199999999998"/>
    <x v="8"/>
    <x v="6"/>
    <n v="9486"/>
    <n v="948.6"/>
    <n v="1275.2400000000002"/>
    <n v="13.44339025932954"/>
  </r>
  <r>
    <x v="250"/>
    <s v="2024-01-06"/>
    <x v="2"/>
    <x v="0"/>
    <x v="0"/>
    <n v="5888"/>
    <n v="3487.93"/>
    <x v="6"/>
    <x v="36"/>
    <n v="47104"/>
    <n v="17899.52"/>
    <n v="1301.0400000000009"/>
    <n v="2.7620584239130452"/>
  </r>
  <r>
    <x v="251"/>
    <s v="2024-05-12"/>
    <x v="1"/>
    <x v="1"/>
    <x v="7"/>
    <n v="1233"/>
    <n v="727.18"/>
    <x v="5"/>
    <x v="11"/>
    <n v="2466"/>
    <n v="0"/>
    <n v="1011.6400000000001"/>
    <n v="41.023519870235205"/>
  </r>
  <r>
    <x v="252"/>
    <s v="2024-01-24"/>
    <x v="1"/>
    <x v="0"/>
    <x v="6"/>
    <n v="2313"/>
    <n v="1671.24"/>
    <x v="8"/>
    <x v="15"/>
    <n v="6939"/>
    <n v="624.51"/>
    <n v="1300.7699999999998"/>
    <n v="18.745784695201035"/>
  </r>
  <r>
    <x v="253"/>
    <s v="2024-01-29"/>
    <x v="3"/>
    <x v="2"/>
    <x v="9"/>
    <n v="3652"/>
    <n v="2039.63"/>
    <x v="5"/>
    <x v="3"/>
    <n v="7304"/>
    <n v="1022.5600000000001"/>
    <n v="2202.1799999999998"/>
    <n v="30.150328587075574"/>
  </r>
  <r>
    <x v="254"/>
    <s v="2024-05-03"/>
    <x v="3"/>
    <x v="2"/>
    <x v="3"/>
    <n v="2324"/>
    <n v="1616.36"/>
    <x v="8"/>
    <x v="25"/>
    <n v="6972"/>
    <n v="418.32"/>
    <n v="1704.6000000000001"/>
    <n v="24.44922547332186"/>
  </r>
  <r>
    <x v="255"/>
    <s v="2024-08-15"/>
    <x v="0"/>
    <x v="1"/>
    <x v="10"/>
    <n v="1357"/>
    <n v="1019.72"/>
    <x v="6"/>
    <x v="14"/>
    <n v="10856"/>
    <n v="759.92000000000007"/>
    <n v="1938.3199999999997"/>
    <n v="17.854826823876195"/>
  </r>
  <r>
    <x v="256"/>
    <s v="2024-03-14"/>
    <x v="0"/>
    <x v="1"/>
    <x v="10"/>
    <n v="979"/>
    <n v="732.89"/>
    <x v="2"/>
    <x v="35"/>
    <n v="3916"/>
    <n v="195.8"/>
    <n v="788.6400000000001"/>
    <n v="20.13891726251277"/>
  </r>
  <r>
    <x v="257"/>
    <s v="2024-08-21"/>
    <x v="0"/>
    <x v="1"/>
    <x v="1"/>
    <n v="1196"/>
    <n v="908.62"/>
    <x v="5"/>
    <x v="24"/>
    <n v="2392"/>
    <n v="502.32"/>
    <n v="72.44"/>
    <n v="3.0284280936454846"/>
  </r>
  <r>
    <x v="258"/>
    <s v="2024-07-22"/>
    <x v="1"/>
    <x v="2"/>
    <x v="8"/>
    <n v="3971"/>
    <n v="3325.11"/>
    <x v="2"/>
    <x v="6"/>
    <n v="15884"/>
    <n v="1588.4"/>
    <n v="995.1599999999994"/>
    <n v="6.2651725006295607"/>
  </r>
  <r>
    <x v="259"/>
    <s v="2024-04-19"/>
    <x v="3"/>
    <x v="2"/>
    <x v="9"/>
    <n v="2370"/>
    <n v="1656.25"/>
    <x v="8"/>
    <x v="4"/>
    <n v="7110"/>
    <n v="1635.3000000000002"/>
    <n v="505.94999999999982"/>
    <n v="7.116033755274259"/>
  </r>
  <r>
    <x v="260"/>
    <s v="2024-09-23"/>
    <x v="1"/>
    <x v="1"/>
    <x v="10"/>
    <n v="1243"/>
    <n v="912.91"/>
    <x v="8"/>
    <x v="25"/>
    <n v="3729"/>
    <n v="223.73999999999998"/>
    <n v="766.53"/>
    <n v="20.555913113435238"/>
  </r>
  <r>
    <x v="261"/>
    <s v="2024-09-20"/>
    <x v="0"/>
    <x v="2"/>
    <x v="3"/>
    <n v="3388"/>
    <n v="2206.38"/>
    <x v="8"/>
    <x v="6"/>
    <n v="10164"/>
    <n v="1016.4000000000001"/>
    <n v="2528.4599999999996"/>
    <n v="24.876623376623371"/>
  </r>
  <r>
    <x v="262"/>
    <s v="2024-05-24"/>
    <x v="2"/>
    <x v="0"/>
    <x v="6"/>
    <n v="2999"/>
    <n v="1885.2"/>
    <x v="7"/>
    <x v="5"/>
    <n v="20993"/>
    <n v="7767.41"/>
    <n v="29.190000000000509"/>
    <n v="0.13904634878293007"/>
  </r>
  <r>
    <x v="263"/>
    <s v="2024-05-17"/>
    <x v="0"/>
    <x v="1"/>
    <x v="5"/>
    <n v="590"/>
    <n v="480.93"/>
    <x v="6"/>
    <x v="15"/>
    <n v="4720"/>
    <n v="424.8"/>
    <n v="447.75999999999993"/>
    <n v="9.4864406779660992"/>
  </r>
  <r>
    <x v="264"/>
    <s v="2024-09-02"/>
    <x v="0"/>
    <x v="2"/>
    <x v="3"/>
    <n v="2499"/>
    <n v="1677.87"/>
    <x v="6"/>
    <x v="24"/>
    <n v="19992"/>
    <n v="4198.32"/>
    <n v="2370.7200000000012"/>
    <n v="11.85834333733494"/>
  </r>
  <r>
    <x v="265"/>
    <s v="2024-02-16"/>
    <x v="1"/>
    <x v="0"/>
    <x v="6"/>
    <n v="3548"/>
    <n v="2482.19"/>
    <x v="4"/>
    <x v="4"/>
    <n v="35480"/>
    <n v="8160.4000000000005"/>
    <n v="2497.699999999998"/>
    <n v="7.0397406989853373"/>
  </r>
  <r>
    <x v="266"/>
    <s v="2024-08-01"/>
    <x v="1"/>
    <x v="1"/>
    <x v="7"/>
    <n v="1548"/>
    <n v="1122.4000000000001"/>
    <x v="3"/>
    <x v="35"/>
    <n v="9288"/>
    <n v="464.40000000000003"/>
    <n v="2089.1999999999994"/>
    <n v="22.493540051679581"/>
  </r>
  <r>
    <x v="267"/>
    <s v="2024-01-07"/>
    <x v="2"/>
    <x v="2"/>
    <x v="9"/>
    <n v="1954"/>
    <n v="1167.21"/>
    <x v="3"/>
    <x v="34"/>
    <n v="11724"/>
    <n v="2931"/>
    <n v="1789.7399999999998"/>
    <n v="15.265609007164787"/>
  </r>
  <r>
    <x v="268"/>
    <s v="2024-05-14"/>
    <x v="0"/>
    <x v="1"/>
    <x v="7"/>
    <n v="2309"/>
    <n v="1431.7"/>
    <x v="8"/>
    <x v="20"/>
    <n v="6927"/>
    <n v="900.51"/>
    <n v="1731.3899999999996"/>
    <n v="24.994802944997829"/>
  </r>
  <r>
    <x v="269"/>
    <s v="2024-02-10"/>
    <x v="2"/>
    <x v="0"/>
    <x v="2"/>
    <n v="5030"/>
    <n v="3875.44"/>
    <x v="7"/>
    <x v="5"/>
    <n v="35210"/>
    <n v="13027.7"/>
    <n v="-4945.7800000000025"/>
    <n v="-14.046520874751497"/>
  </r>
  <r>
    <x v="270"/>
    <s v="2024-11-03"/>
    <x v="2"/>
    <x v="0"/>
    <x v="11"/>
    <n v="5467"/>
    <n v="3964.03"/>
    <x v="4"/>
    <x v="23"/>
    <n v="54670"/>
    <n v="12027.4"/>
    <n v="3002.2999999999975"/>
    <n v="5.4916773367477543"/>
  </r>
  <r>
    <x v="271"/>
    <s v="2024-10-22"/>
    <x v="0"/>
    <x v="2"/>
    <x v="8"/>
    <n v="3330"/>
    <n v="2788.01"/>
    <x v="5"/>
    <x v="1"/>
    <n v="6660"/>
    <n v="1132.2"/>
    <n v="-48.220000000000482"/>
    <n v="-0.72402402402403121"/>
  </r>
  <r>
    <x v="272"/>
    <s v="2024-05-21"/>
    <x v="3"/>
    <x v="2"/>
    <x v="8"/>
    <n v="1833"/>
    <n v="1054.92"/>
    <x v="3"/>
    <x v="7"/>
    <n v="10998"/>
    <n v="109.98"/>
    <n v="4558.5"/>
    <n v="41.448445171849428"/>
  </r>
  <r>
    <x v="273"/>
    <s v="2024-01-31"/>
    <x v="1"/>
    <x v="0"/>
    <x v="0"/>
    <n v="5336"/>
    <n v="3982.37"/>
    <x v="3"/>
    <x v="1"/>
    <n v="32016"/>
    <n v="5442.72"/>
    <n v="2679.0599999999986"/>
    <n v="8.3678785607196353"/>
  </r>
  <r>
    <x v="274"/>
    <s v="2024-04-18"/>
    <x v="3"/>
    <x v="0"/>
    <x v="6"/>
    <n v="3074"/>
    <n v="2327.52"/>
    <x v="7"/>
    <x v="24"/>
    <n v="21518"/>
    <n v="4518.78"/>
    <n v="706.58000000000084"/>
    <n v="3.283669486011715"/>
  </r>
  <r>
    <x v="275"/>
    <s v="2024-09-14"/>
    <x v="0"/>
    <x v="0"/>
    <x v="11"/>
    <n v="5053"/>
    <n v="2893.61"/>
    <x v="2"/>
    <x v="35"/>
    <n v="20212"/>
    <n v="1010.6"/>
    <n v="7626.9599999999991"/>
    <n v="37.734811003364335"/>
  </r>
  <r>
    <x v="276"/>
    <s v="2024-11-28"/>
    <x v="2"/>
    <x v="1"/>
    <x v="1"/>
    <n v="1307"/>
    <n v="847.11"/>
    <x v="8"/>
    <x v="36"/>
    <n v="3921"/>
    <n v="1489.98"/>
    <n v="-110.30999999999995"/>
    <n v="-2.8133129303749027"/>
  </r>
  <r>
    <x v="277"/>
    <s v="2024-03-05"/>
    <x v="2"/>
    <x v="2"/>
    <x v="4"/>
    <n v="3934"/>
    <n v="2298.4699999999998"/>
    <x v="0"/>
    <x v="19"/>
    <n v="19670"/>
    <n v="5901"/>
    <n v="2276.6500000000015"/>
    <n v="11.574224707676672"/>
  </r>
  <r>
    <x v="278"/>
    <s v="2024-09-03"/>
    <x v="1"/>
    <x v="2"/>
    <x v="8"/>
    <n v="2752"/>
    <n v="1940.6"/>
    <x v="5"/>
    <x v="37"/>
    <n v="5504"/>
    <n v="220.16"/>
    <n v="1402.64"/>
    <n v="25.484011627906977"/>
  </r>
  <r>
    <x v="279"/>
    <s v="2024-09-05"/>
    <x v="0"/>
    <x v="2"/>
    <x v="4"/>
    <n v="3769"/>
    <n v="2611.5300000000002"/>
    <x v="9"/>
    <x v="7"/>
    <n v="3769"/>
    <n v="37.69"/>
    <n v="1119.7799999999997"/>
    <n v="29.710267975590337"/>
  </r>
  <r>
    <x v="280"/>
    <s v="2024-07-15"/>
    <x v="1"/>
    <x v="1"/>
    <x v="5"/>
    <n v="2468"/>
    <n v="1994.02"/>
    <x v="7"/>
    <x v="27"/>
    <n v="17276"/>
    <n v="1900.36"/>
    <n v="1417.5000000000007"/>
    <n v="8.2050243111831485"/>
  </r>
  <r>
    <x v="281"/>
    <s v="2024-01-06"/>
    <x v="2"/>
    <x v="1"/>
    <x v="10"/>
    <n v="1674"/>
    <n v="1056.45"/>
    <x v="0"/>
    <x v="9"/>
    <n v="8370"/>
    <n v="1674"/>
    <n v="1413.75"/>
    <n v="16.890681003584231"/>
  </r>
  <r>
    <x v="282"/>
    <s v="2024-07-26"/>
    <x v="1"/>
    <x v="0"/>
    <x v="0"/>
    <n v="5884"/>
    <n v="3896.45"/>
    <x v="0"/>
    <x v="7"/>
    <n v="29420"/>
    <n v="294.2"/>
    <n v="9643.5499999999993"/>
    <n v="32.778891910265123"/>
  </r>
  <r>
    <x v="283"/>
    <s v="2024-07-07"/>
    <x v="2"/>
    <x v="1"/>
    <x v="10"/>
    <n v="2309"/>
    <n v="1287.27"/>
    <x v="5"/>
    <x v="12"/>
    <n v="4618"/>
    <n v="1108.32"/>
    <n v="935.1400000000001"/>
    <n v="20.249891728020792"/>
  </r>
  <r>
    <x v="284"/>
    <s v="2024-05-28"/>
    <x v="1"/>
    <x v="0"/>
    <x v="6"/>
    <n v="2778"/>
    <n v="2236.41"/>
    <x v="3"/>
    <x v="21"/>
    <n v="16668"/>
    <n v="333.36"/>
    <n v="2916.1800000000007"/>
    <n v="17.49568034557236"/>
  </r>
  <r>
    <x v="285"/>
    <s v="2024-10-05"/>
    <x v="1"/>
    <x v="0"/>
    <x v="6"/>
    <n v="2001"/>
    <n v="1306.21"/>
    <x v="7"/>
    <x v="4"/>
    <n v="14007"/>
    <n v="3221.61"/>
    <n v="1641.9199999999987"/>
    <n v="11.722138930534722"/>
  </r>
  <r>
    <x v="286"/>
    <s v="2024-04-21"/>
    <x v="1"/>
    <x v="2"/>
    <x v="9"/>
    <n v="1548"/>
    <n v="902.48"/>
    <x v="4"/>
    <x v="23"/>
    <n v="15480"/>
    <n v="3405.6"/>
    <n v="3049.6000000000008"/>
    <n v="19.700258397932821"/>
  </r>
  <r>
    <x v="287"/>
    <s v="2024-05-26"/>
    <x v="1"/>
    <x v="0"/>
    <x v="2"/>
    <n v="4285"/>
    <n v="2436.17"/>
    <x v="4"/>
    <x v="35"/>
    <n v="42850"/>
    <n v="2142.5"/>
    <n v="16345.8"/>
    <n v="38.146557759626603"/>
  </r>
  <r>
    <x v="288"/>
    <s v="2024-03-11"/>
    <x v="2"/>
    <x v="0"/>
    <x v="0"/>
    <n v="2881"/>
    <n v="2067.15"/>
    <x v="5"/>
    <x v="36"/>
    <n v="5762"/>
    <n v="2189.56"/>
    <n v="-561.86000000000013"/>
    <n v="-9.7511280805275966"/>
  </r>
  <r>
    <x v="289"/>
    <s v="2024-08-23"/>
    <x v="0"/>
    <x v="1"/>
    <x v="1"/>
    <n v="915"/>
    <n v="696.5"/>
    <x v="2"/>
    <x v="4"/>
    <n v="3660"/>
    <n v="841.80000000000007"/>
    <n v="32.199999999999932"/>
    <n v="0.87978142076502541"/>
  </r>
  <r>
    <x v="290"/>
    <s v="2024-08-15"/>
    <x v="0"/>
    <x v="1"/>
    <x v="10"/>
    <n v="1847"/>
    <n v="1028.4100000000001"/>
    <x v="4"/>
    <x v="13"/>
    <n v="18470"/>
    <n v="1477.6000000000001"/>
    <n v="6708.2999999999993"/>
    <n v="36.319978343259336"/>
  </r>
  <r>
    <x v="291"/>
    <s v="2024-11-20"/>
    <x v="2"/>
    <x v="0"/>
    <x v="0"/>
    <n v="4649"/>
    <n v="2933.39"/>
    <x v="0"/>
    <x v="40"/>
    <n v="23245"/>
    <n v="6276.1500000000005"/>
    <n v="2301.9000000000005"/>
    <n v="9.9027747902774816"/>
  </r>
  <r>
    <x v="292"/>
    <s v="2024-05-14"/>
    <x v="0"/>
    <x v="1"/>
    <x v="10"/>
    <n v="1290"/>
    <n v="756.62"/>
    <x v="1"/>
    <x v="16"/>
    <n v="11610"/>
    <n v="1393.2"/>
    <n v="3407.2200000000003"/>
    <n v="29.347286821705428"/>
  </r>
  <r>
    <x v="293"/>
    <s v="2024-03-31"/>
    <x v="2"/>
    <x v="2"/>
    <x v="8"/>
    <n v="1844"/>
    <n v="1519.74"/>
    <x v="8"/>
    <x v="24"/>
    <n v="5532"/>
    <n v="1161.72"/>
    <n v="-188.94000000000028"/>
    <n v="-3.4154013015184432"/>
  </r>
  <r>
    <x v="294"/>
    <s v="2024-11-22"/>
    <x v="3"/>
    <x v="1"/>
    <x v="7"/>
    <n v="1286"/>
    <n v="904.28"/>
    <x v="1"/>
    <x v="15"/>
    <n v="11574"/>
    <n v="1041.6599999999999"/>
    <n v="2393.8200000000006"/>
    <n v="20.682737169517889"/>
  </r>
  <r>
    <x v="295"/>
    <s v="2024-11-25"/>
    <x v="3"/>
    <x v="1"/>
    <x v="10"/>
    <n v="918"/>
    <n v="610.41999999999996"/>
    <x v="7"/>
    <x v="27"/>
    <n v="6426"/>
    <n v="706.86"/>
    <n v="1446.2000000000003"/>
    <n v="22.505446623093686"/>
  </r>
  <r>
    <x v="296"/>
    <s v="2024-04-07"/>
    <x v="0"/>
    <x v="2"/>
    <x v="3"/>
    <n v="3199"/>
    <n v="2492.0100000000002"/>
    <x v="9"/>
    <x v="18"/>
    <n v="3199"/>
    <n v="95.97"/>
    <n v="611.01999999999975"/>
    <n v="19.100343857455449"/>
  </r>
  <r>
    <x v="297"/>
    <s v="2024-07-28"/>
    <x v="2"/>
    <x v="0"/>
    <x v="2"/>
    <n v="4709"/>
    <n v="3742.18"/>
    <x v="9"/>
    <x v="31"/>
    <n v="4709"/>
    <n v="1318.5200000000002"/>
    <n v="-351.70000000000005"/>
    <n v="-7.4686770014865163"/>
  </r>
  <r>
    <x v="298"/>
    <s v="2024-09-22"/>
    <x v="0"/>
    <x v="0"/>
    <x v="0"/>
    <n v="2053"/>
    <n v="1406.45"/>
    <x v="8"/>
    <x v="23"/>
    <n v="6159"/>
    <n v="1354.98"/>
    <n v="584.66999999999962"/>
    <n v="9.4929371651242018"/>
  </r>
  <r>
    <x v="299"/>
    <s v="2024-09-18"/>
    <x v="2"/>
    <x v="1"/>
    <x v="10"/>
    <n v="744"/>
    <n v="477.67"/>
    <x v="6"/>
    <x v="32"/>
    <n v="5952"/>
    <n v="1964.16"/>
    <n v="166.47999999999979"/>
    <n v="2.7970430107526845"/>
  </r>
  <r>
    <x v="300"/>
    <s v="2024-04-18"/>
    <x v="3"/>
    <x v="2"/>
    <x v="8"/>
    <n v="1962"/>
    <n v="1311.96"/>
    <x v="8"/>
    <x v="25"/>
    <n v="5886"/>
    <n v="353.15999999999997"/>
    <n v="1596.96"/>
    <n v="27.131498470948014"/>
  </r>
  <r>
    <x v="301"/>
    <s v="2024-03-07"/>
    <x v="3"/>
    <x v="0"/>
    <x v="6"/>
    <n v="5470"/>
    <n v="4068.62"/>
    <x v="9"/>
    <x v="16"/>
    <n v="5470"/>
    <n v="656.4"/>
    <n v="744.98000000000013"/>
    <n v="13.619378427787938"/>
  </r>
  <r>
    <x v="302"/>
    <s v="2024-09-05"/>
    <x v="2"/>
    <x v="2"/>
    <x v="8"/>
    <n v="2896"/>
    <n v="2211"/>
    <x v="8"/>
    <x v="4"/>
    <n v="8688"/>
    <n v="1998.24"/>
    <n v="56.759999999999991"/>
    <n v="0.65331491712707179"/>
  </r>
  <r>
    <x v="303"/>
    <s v="2024-07-26"/>
    <x v="1"/>
    <x v="2"/>
    <x v="8"/>
    <n v="1572"/>
    <n v="1062.27"/>
    <x v="2"/>
    <x v="27"/>
    <n v="6288"/>
    <n v="691.68"/>
    <n v="1347.2400000000002"/>
    <n v="21.425572519083975"/>
  </r>
  <r>
    <x v="304"/>
    <s v="2024-04-01"/>
    <x v="3"/>
    <x v="2"/>
    <x v="9"/>
    <n v="3775"/>
    <n v="2137.75"/>
    <x v="8"/>
    <x v="13"/>
    <n v="11325"/>
    <n v="906"/>
    <n v="4005.75"/>
    <n v="35.370860927152322"/>
  </r>
  <r>
    <x v="305"/>
    <s v="2024-03-22"/>
    <x v="3"/>
    <x v="1"/>
    <x v="1"/>
    <n v="1153"/>
    <n v="826.13"/>
    <x v="9"/>
    <x v="12"/>
    <n v="1153"/>
    <n v="276.71999999999997"/>
    <n v="50.150000000000034"/>
    <n v="4.3495229835212523"/>
  </r>
  <r>
    <x v="306"/>
    <s v="2024-03-10"/>
    <x v="2"/>
    <x v="1"/>
    <x v="1"/>
    <n v="542"/>
    <n v="307.58999999999997"/>
    <x v="1"/>
    <x v="34"/>
    <n v="4878"/>
    <n v="1219.5"/>
    <n v="890.19"/>
    <n v="18.249077490774908"/>
  </r>
  <r>
    <x v="307"/>
    <s v="2024-01-08"/>
    <x v="3"/>
    <x v="1"/>
    <x v="1"/>
    <n v="2500"/>
    <n v="1706.76"/>
    <x v="8"/>
    <x v="6"/>
    <n v="7500"/>
    <n v="750"/>
    <n v="1629.7200000000003"/>
    <n v="21.729600000000005"/>
  </r>
  <r>
    <x v="308"/>
    <s v="2024-08-22"/>
    <x v="1"/>
    <x v="0"/>
    <x v="11"/>
    <n v="3129"/>
    <n v="1914.91"/>
    <x v="9"/>
    <x v="6"/>
    <n v="3129"/>
    <n v="312.90000000000003"/>
    <n v="901.18999999999983"/>
    <n v="28.801214445509743"/>
  </r>
  <r>
    <x v="309"/>
    <s v="2024-10-17"/>
    <x v="2"/>
    <x v="1"/>
    <x v="7"/>
    <n v="1520"/>
    <n v="1228.7"/>
    <x v="1"/>
    <x v="2"/>
    <n v="13680"/>
    <n v="3967.2"/>
    <n v="-1345.5000000000009"/>
    <n v="-9.8355263157894814"/>
  </r>
  <r>
    <x v="310"/>
    <s v="2024-12-16"/>
    <x v="1"/>
    <x v="0"/>
    <x v="0"/>
    <n v="5282"/>
    <n v="3587.85"/>
    <x v="7"/>
    <x v="25"/>
    <n v="36974"/>
    <n v="2218.44"/>
    <n v="9640.6099999999988"/>
    <n v="26.074024990533886"/>
  </r>
  <r>
    <x v="311"/>
    <s v="2024-01-22"/>
    <x v="2"/>
    <x v="2"/>
    <x v="9"/>
    <n v="3829"/>
    <n v="3121.06"/>
    <x v="9"/>
    <x v="26"/>
    <n v="3829"/>
    <n v="1378.44"/>
    <n v="-670.5"/>
    <n v="-17.511099503786891"/>
  </r>
  <r>
    <x v="312"/>
    <s v="2024-09-21"/>
    <x v="2"/>
    <x v="0"/>
    <x v="11"/>
    <n v="4056"/>
    <n v="2252.65"/>
    <x v="7"/>
    <x v="2"/>
    <n v="28392"/>
    <n v="8233.68"/>
    <n v="4389.7699999999986"/>
    <n v="15.461291913214986"/>
  </r>
  <r>
    <x v="313"/>
    <s v="2024-12-02"/>
    <x v="0"/>
    <x v="0"/>
    <x v="0"/>
    <n v="5353"/>
    <n v="3085.76"/>
    <x v="3"/>
    <x v="25"/>
    <n v="32118"/>
    <n v="1927.08"/>
    <n v="11676.359999999999"/>
    <n v="36.35456753222492"/>
  </r>
  <r>
    <x v="314"/>
    <s v="2024-10-17"/>
    <x v="0"/>
    <x v="2"/>
    <x v="4"/>
    <n v="2105"/>
    <n v="1229.79"/>
    <x v="6"/>
    <x v="3"/>
    <n v="16840"/>
    <n v="2357.6000000000004"/>
    <n v="4644.08"/>
    <n v="27.577672209026126"/>
  </r>
  <r>
    <x v="315"/>
    <s v="2024-11-17"/>
    <x v="3"/>
    <x v="0"/>
    <x v="2"/>
    <n v="3631"/>
    <n v="2525.35"/>
    <x v="5"/>
    <x v="1"/>
    <n v="7262"/>
    <n v="1234.5400000000002"/>
    <n v="976.76"/>
    <n v="13.45028917653539"/>
  </r>
  <r>
    <x v="316"/>
    <s v="2024-07-06"/>
    <x v="3"/>
    <x v="1"/>
    <x v="1"/>
    <n v="2113"/>
    <n v="1724.34"/>
    <x v="2"/>
    <x v="3"/>
    <n v="8452"/>
    <n v="1183.2800000000002"/>
    <n v="371.36000000000013"/>
    <n v="4.3937529578797934"/>
  </r>
  <r>
    <x v="317"/>
    <s v="2024-10-10"/>
    <x v="3"/>
    <x v="0"/>
    <x v="6"/>
    <n v="4717"/>
    <n v="2880.3"/>
    <x v="8"/>
    <x v="3"/>
    <n v="14151"/>
    <n v="1981.14"/>
    <n v="3528.9599999999982"/>
    <n v="24.937884248462993"/>
  </r>
  <r>
    <x v="318"/>
    <s v="2024-09-25"/>
    <x v="1"/>
    <x v="1"/>
    <x v="1"/>
    <n v="893"/>
    <n v="620.6"/>
    <x v="5"/>
    <x v="6"/>
    <n v="1786"/>
    <n v="178.60000000000002"/>
    <n v="366.19999999999993"/>
    <n v="20.503919372900331"/>
  </r>
  <r>
    <x v="319"/>
    <s v="2024-01-06"/>
    <x v="2"/>
    <x v="0"/>
    <x v="11"/>
    <n v="4756"/>
    <n v="3663.2"/>
    <x v="8"/>
    <x v="34"/>
    <n v="14268"/>
    <n v="3567"/>
    <n v="-288.59999999999854"/>
    <n v="-2.0227081581160538"/>
  </r>
  <r>
    <x v="320"/>
    <s v="2024-11-14"/>
    <x v="3"/>
    <x v="0"/>
    <x v="0"/>
    <n v="4775"/>
    <n v="3569.76"/>
    <x v="4"/>
    <x v="16"/>
    <n v="47750"/>
    <n v="5730"/>
    <n v="6322.3999999999942"/>
    <n v="13.240628272251298"/>
  </r>
  <r>
    <x v="321"/>
    <s v="2024-06-22"/>
    <x v="0"/>
    <x v="1"/>
    <x v="10"/>
    <n v="1437"/>
    <n v="863.67"/>
    <x v="3"/>
    <x v="13"/>
    <n v="8622"/>
    <n v="689.76"/>
    <n v="2750.2200000000003"/>
    <n v="31.897703549060548"/>
  </r>
  <r>
    <x v="322"/>
    <s v="2024-10-29"/>
    <x v="1"/>
    <x v="1"/>
    <x v="5"/>
    <n v="736"/>
    <n v="622.17999999999995"/>
    <x v="8"/>
    <x v="6"/>
    <n v="2208"/>
    <n v="220.8"/>
    <n v="120.66000000000003"/>
    <n v="5.4646739130434794"/>
  </r>
  <r>
    <x v="323"/>
    <s v="2024-07-23"/>
    <x v="3"/>
    <x v="0"/>
    <x v="0"/>
    <n v="2740"/>
    <n v="1812.31"/>
    <x v="4"/>
    <x v="9"/>
    <n v="27400"/>
    <n v="5480"/>
    <n v="3796.9000000000015"/>
    <n v="13.857299270072998"/>
  </r>
  <r>
    <x v="324"/>
    <s v="2024-11-10"/>
    <x v="3"/>
    <x v="2"/>
    <x v="9"/>
    <n v="2546"/>
    <n v="1450.81"/>
    <x v="8"/>
    <x v="6"/>
    <n v="7638"/>
    <n v="763.80000000000007"/>
    <n v="2521.7699999999995"/>
    <n v="33.016103692065983"/>
  </r>
  <r>
    <x v="325"/>
    <s v="2024-05-05"/>
    <x v="2"/>
    <x v="1"/>
    <x v="7"/>
    <n v="1013"/>
    <n v="666.13"/>
    <x v="5"/>
    <x v="26"/>
    <n v="2026"/>
    <n v="729.36"/>
    <n v="-35.620000000000005"/>
    <n v="-1.7581441263573545"/>
  </r>
  <r>
    <x v="326"/>
    <s v="2024-09-27"/>
    <x v="0"/>
    <x v="2"/>
    <x v="4"/>
    <n v="1623"/>
    <n v="958.81"/>
    <x v="8"/>
    <x v="9"/>
    <n v="4869"/>
    <n v="973.80000000000007"/>
    <n v="1018.7700000000001"/>
    <n v="20.923598274799758"/>
  </r>
  <r>
    <x v="327"/>
    <s v="2024-03-15"/>
    <x v="2"/>
    <x v="2"/>
    <x v="4"/>
    <n v="2869"/>
    <n v="2342.52"/>
    <x v="9"/>
    <x v="24"/>
    <n v="2869"/>
    <n v="602.49"/>
    <n v="-76.009999999999991"/>
    <n v="-2.6493551760195184"/>
  </r>
  <r>
    <x v="328"/>
    <s v="2024-08-11"/>
    <x v="2"/>
    <x v="1"/>
    <x v="10"/>
    <n v="2249"/>
    <n v="1840.51"/>
    <x v="9"/>
    <x v="26"/>
    <n v="2249"/>
    <n v="809.64"/>
    <n v="-401.15"/>
    <n v="-17.836816362827925"/>
  </r>
  <r>
    <x v="329"/>
    <s v="2024-01-12"/>
    <x v="1"/>
    <x v="1"/>
    <x v="7"/>
    <n v="1232"/>
    <n v="1006.51"/>
    <x v="4"/>
    <x v="0"/>
    <n v="12320"/>
    <n v="2217.6"/>
    <n v="37.299999999999727"/>
    <n v="0.30275974025973801"/>
  </r>
  <r>
    <x v="330"/>
    <s v="2024-06-01"/>
    <x v="1"/>
    <x v="0"/>
    <x v="6"/>
    <n v="5833"/>
    <n v="4572.95"/>
    <x v="5"/>
    <x v="12"/>
    <n v="11666"/>
    <n v="2799.8399999999997"/>
    <n v="-279.73999999999933"/>
    <n v="-2.3979084519115323"/>
  </r>
  <r>
    <x v="331"/>
    <s v="2024-11-25"/>
    <x v="2"/>
    <x v="1"/>
    <x v="7"/>
    <n v="2067"/>
    <n v="1417.62"/>
    <x v="4"/>
    <x v="24"/>
    <n v="20670"/>
    <n v="4340.7"/>
    <n v="2153.1000000000013"/>
    <n v="10.416545718432516"/>
  </r>
  <r>
    <x v="332"/>
    <s v="2024-06-18"/>
    <x v="0"/>
    <x v="0"/>
    <x v="11"/>
    <n v="2197"/>
    <n v="1796.35"/>
    <x v="5"/>
    <x v="20"/>
    <n v="4394"/>
    <n v="571.22"/>
    <n v="230.08000000000015"/>
    <n v="5.2362312243969082"/>
  </r>
  <r>
    <x v="333"/>
    <s v="2024-01-29"/>
    <x v="3"/>
    <x v="0"/>
    <x v="6"/>
    <n v="3208"/>
    <n v="2536.44"/>
    <x v="1"/>
    <x v="24"/>
    <n v="28872"/>
    <n v="6063.12"/>
    <n v="-19.079999999999018"/>
    <n v="-6.6084788029921779E-2"/>
  </r>
  <r>
    <x v="334"/>
    <s v="2024-03-19"/>
    <x v="2"/>
    <x v="2"/>
    <x v="3"/>
    <n v="3060"/>
    <n v="1900.8"/>
    <x v="5"/>
    <x v="23"/>
    <n v="6120"/>
    <n v="1346.4"/>
    <n v="972"/>
    <n v="15.882352941176469"/>
  </r>
  <r>
    <x v="335"/>
    <s v="2024-09-12"/>
    <x v="2"/>
    <x v="2"/>
    <x v="4"/>
    <n v="1915"/>
    <n v="1239.57"/>
    <x v="2"/>
    <x v="2"/>
    <n v="7660"/>
    <n v="2221.3999999999996"/>
    <n v="480.32000000000062"/>
    <n v="6.2704960835509223"/>
  </r>
  <r>
    <x v="336"/>
    <s v="2024-07-17"/>
    <x v="0"/>
    <x v="1"/>
    <x v="5"/>
    <n v="518"/>
    <n v="355.75"/>
    <x v="6"/>
    <x v="23"/>
    <n v="4144"/>
    <n v="911.68"/>
    <n v="386.32000000000005"/>
    <n v="9.3223938223938241"/>
  </r>
  <r>
    <x v="337"/>
    <s v="2024-04-17"/>
    <x v="1"/>
    <x v="2"/>
    <x v="8"/>
    <n v="1954"/>
    <n v="1125.3499999999999"/>
    <x v="3"/>
    <x v="12"/>
    <n v="11724"/>
    <n v="2813.7599999999998"/>
    <n v="2158.1400000000008"/>
    <n v="18.40788126919141"/>
  </r>
  <r>
    <x v="338"/>
    <s v="2024-11-27"/>
    <x v="1"/>
    <x v="2"/>
    <x v="4"/>
    <n v="3326"/>
    <n v="2043.28"/>
    <x v="3"/>
    <x v="21"/>
    <n v="19956"/>
    <n v="399.12"/>
    <n v="7297.2"/>
    <n v="36.566446181599517"/>
  </r>
  <r>
    <x v="339"/>
    <s v="2024-11-23"/>
    <x v="0"/>
    <x v="1"/>
    <x v="10"/>
    <n v="2304"/>
    <n v="1280.0999999999999"/>
    <x v="3"/>
    <x v="13"/>
    <n v="13824"/>
    <n v="1105.92"/>
    <n v="5037.4800000000005"/>
    <n v="36.440104166666671"/>
  </r>
  <r>
    <x v="340"/>
    <s v="2024-10-09"/>
    <x v="0"/>
    <x v="1"/>
    <x v="1"/>
    <n v="1067"/>
    <n v="589.34"/>
    <x v="6"/>
    <x v="16"/>
    <n v="8536"/>
    <n v="1024.32"/>
    <n v="2796.96"/>
    <n v="32.766635426429239"/>
  </r>
  <r>
    <x v="341"/>
    <s v="2024-06-26"/>
    <x v="3"/>
    <x v="2"/>
    <x v="3"/>
    <n v="1617"/>
    <n v="1252.26"/>
    <x v="4"/>
    <x v="14"/>
    <n v="16170"/>
    <n v="1131.9000000000001"/>
    <n v="2515.4999999999995"/>
    <n v="15.556586270871984"/>
  </r>
  <r>
    <x v="342"/>
    <s v="2024-02-25"/>
    <x v="3"/>
    <x v="2"/>
    <x v="4"/>
    <n v="3216"/>
    <n v="2722.31"/>
    <x v="5"/>
    <x v="17"/>
    <n v="6432"/>
    <n v="964.8"/>
    <n v="22.580000000000155"/>
    <n v="0.35105721393035066"/>
  </r>
  <r>
    <x v="343"/>
    <s v="2024-11-27"/>
    <x v="2"/>
    <x v="0"/>
    <x v="2"/>
    <n v="4502"/>
    <n v="3067.69"/>
    <x v="7"/>
    <x v="24"/>
    <n v="31514"/>
    <n v="6617.94"/>
    <n v="3422.2299999999987"/>
    <n v="10.859395824078183"/>
  </r>
  <r>
    <x v="344"/>
    <s v="2024-09-06"/>
    <x v="3"/>
    <x v="2"/>
    <x v="9"/>
    <n v="1983"/>
    <n v="1668.29"/>
    <x v="1"/>
    <x v="7"/>
    <n v="17847"/>
    <n v="178.47"/>
    <n v="2653.9199999999996"/>
    <n v="14.870398386283407"/>
  </r>
  <r>
    <x v="345"/>
    <s v="2024-03-17"/>
    <x v="1"/>
    <x v="2"/>
    <x v="4"/>
    <n v="2451"/>
    <n v="1390.04"/>
    <x v="0"/>
    <x v="15"/>
    <n v="12255"/>
    <n v="1102.95"/>
    <n v="4201.8500000000004"/>
    <n v="34.286821705426355"/>
  </r>
  <r>
    <x v="346"/>
    <s v="2024-05-06"/>
    <x v="0"/>
    <x v="1"/>
    <x v="7"/>
    <n v="1921"/>
    <n v="1166.56"/>
    <x v="1"/>
    <x v="14"/>
    <n v="17289"/>
    <n v="1210.23"/>
    <n v="5579.7300000000014"/>
    <n v="32.273295158771482"/>
  </r>
  <r>
    <x v="347"/>
    <s v="2024-11-14"/>
    <x v="0"/>
    <x v="1"/>
    <x v="5"/>
    <n v="1455"/>
    <n v="1164.26"/>
    <x v="8"/>
    <x v="0"/>
    <n v="4365"/>
    <n v="785.69999999999993"/>
    <n v="86.520000000000323"/>
    <n v="1.9821305841924473"/>
  </r>
  <r>
    <x v="348"/>
    <s v="2024-07-19"/>
    <x v="1"/>
    <x v="2"/>
    <x v="8"/>
    <n v="2712"/>
    <n v="2164.7399999999998"/>
    <x v="0"/>
    <x v="16"/>
    <n v="13560"/>
    <n v="1627.2"/>
    <n v="1109.100000000001"/>
    <n v="8.1792035398230176"/>
  </r>
  <r>
    <x v="349"/>
    <s v="2024-01-14"/>
    <x v="3"/>
    <x v="1"/>
    <x v="7"/>
    <n v="2148"/>
    <n v="1625.6"/>
    <x v="4"/>
    <x v="30"/>
    <n v="21480"/>
    <n v="3436.8"/>
    <n v="1787.1999999999998"/>
    <n v="8.32029795158286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B80343-382E-4437-B54F-548890E7EF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4">
    <pivotField showAll="0"/>
    <pivotField showAll="0"/>
    <pivotField axis="axisRow" showAll="0">
      <items count="5">
        <item x="0"/>
        <item x="1"/>
        <item x="2"/>
        <item x="3"/>
        <item t="default"/>
      </items>
    </pivotField>
    <pivotField showAll="0">
      <items count="4">
        <item x="1"/>
        <item x="0"/>
        <item x="2"/>
        <item t="default"/>
      </items>
    </pivotField>
    <pivotField showAll="0"/>
    <pivotField showAll="0"/>
    <pivotField showAll="0"/>
    <pivotField showAll="0"/>
    <pivotField showAll="0">
      <items count="82">
        <item x="11"/>
        <item x="7"/>
        <item x="21"/>
        <item x="18"/>
        <item x="37"/>
        <item x="35"/>
        <item x="25"/>
        <item x="14"/>
        <item x="13"/>
        <item x="15"/>
        <item x="6"/>
        <item x="27"/>
        <item x="16"/>
        <item x="20"/>
        <item x="3"/>
        <item x="17"/>
        <item x="30"/>
        <item x="1"/>
        <item x="0"/>
        <item x="8"/>
        <item x="9"/>
        <item x="24"/>
        <item x="23"/>
        <item x="4"/>
        <item x="12"/>
        <item x="34"/>
        <item x="33"/>
        <item x="40"/>
        <item x="31"/>
        <item x="2"/>
        <item x="19"/>
        <item x="29"/>
        <item x="38"/>
        <item x="32"/>
        <item x="39"/>
        <item x="10"/>
        <item x="26"/>
        <item x="5"/>
        <item x="36"/>
        <item x="22"/>
        <item x="28"/>
        <item f="1" x="41"/>
        <item f="1" x="42"/>
        <item f="1" x="43"/>
        <item f="1" x="44"/>
        <item f="1" x="45"/>
        <item f="1" x="46"/>
        <item f="1" x="47"/>
        <item f="1" x="48"/>
        <item f="1" x="49"/>
        <item f="1" x="50"/>
        <item f="1" x="51"/>
        <item f="1" x="52"/>
        <item f="1" x="53"/>
        <item f="1" x="54"/>
        <item f="1" x="55"/>
        <item f="1" x="56"/>
        <item f="1" x="57"/>
        <item f="1" x="58"/>
        <item f="1" x="59"/>
        <item f="1" x="60"/>
        <item f="1" x="61"/>
        <item f="1" x="62"/>
        <item f="1" x="63"/>
        <item f="1" x="64"/>
        <item f="1" x="65"/>
        <item f="1" x="66"/>
        <item f="1" x="67"/>
        <item f="1" x="68"/>
        <item f="1" x="69"/>
        <item f="1" x="70"/>
        <item f="1" x="71"/>
        <item f="1" x="72"/>
        <item f="1" x="73"/>
        <item f="1" x="74"/>
        <item f="1" x="75"/>
        <item f="1" x="76"/>
        <item f="1" x="77"/>
        <item f="1" x="78"/>
        <item f="1" x="79"/>
        <item f="1" x="80"/>
        <item t="default"/>
      </items>
    </pivotField>
    <pivotField dataField="1" showAll="0"/>
    <pivotField showAll="0"/>
    <pivotField showAll="0"/>
    <pivotField showAll="0"/>
    <pivotField dragToRow="0" dragToCol="0" dragToPage="0" showAll="0" defaultSubtotal="0"/>
  </pivotFields>
  <rowFields count="1">
    <field x="2"/>
  </rowFields>
  <rowItems count="5">
    <i>
      <x/>
    </i>
    <i>
      <x v="1"/>
    </i>
    <i>
      <x v="2"/>
    </i>
    <i>
      <x v="3"/>
    </i>
    <i t="grand">
      <x/>
    </i>
  </rowItems>
  <colItems count="1">
    <i/>
  </colItems>
  <dataFields count="1">
    <dataField name="Sum of Revenue" fld="9"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888A7D-54B9-45D9-8233-8DB7A42D04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showAll="0"/>
    <pivotField showAll="0"/>
    <pivotField showAll="0"/>
    <pivotField axis="axisRow" showAll="0">
      <items count="4">
        <item x="1"/>
        <item x="0"/>
        <item x="2"/>
        <item t="default"/>
      </items>
    </pivotField>
    <pivotField showAll="0"/>
    <pivotField showAll="0"/>
    <pivotField showAll="0"/>
    <pivotField showAll="0"/>
    <pivotField showAll="0">
      <items count="82">
        <item x="11"/>
        <item x="7"/>
        <item x="21"/>
        <item x="18"/>
        <item x="37"/>
        <item x="35"/>
        <item x="25"/>
        <item x="14"/>
        <item x="13"/>
        <item x="15"/>
        <item x="6"/>
        <item x="27"/>
        <item x="16"/>
        <item x="20"/>
        <item x="3"/>
        <item x="17"/>
        <item x="30"/>
        <item x="1"/>
        <item x="0"/>
        <item x="8"/>
        <item x="9"/>
        <item x="24"/>
        <item x="23"/>
        <item x="4"/>
        <item x="12"/>
        <item x="34"/>
        <item x="33"/>
        <item x="40"/>
        <item x="31"/>
        <item x="2"/>
        <item x="19"/>
        <item x="29"/>
        <item x="38"/>
        <item x="32"/>
        <item x="39"/>
        <item x="10"/>
        <item x="26"/>
        <item x="5"/>
        <item x="36"/>
        <item x="22"/>
        <item x="28"/>
        <item f="1" x="41"/>
        <item f="1" x="42"/>
        <item f="1" x="43"/>
        <item f="1" x="44"/>
        <item f="1" x="45"/>
        <item f="1" x="46"/>
        <item f="1" x="47"/>
        <item f="1" x="48"/>
        <item f="1" x="49"/>
        <item f="1" x="50"/>
        <item f="1" x="51"/>
        <item f="1" x="52"/>
        <item f="1" x="53"/>
        <item f="1" x="54"/>
        <item f="1" x="55"/>
        <item f="1" x="56"/>
        <item f="1" x="57"/>
        <item f="1" x="58"/>
        <item f="1" x="59"/>
        <item f="1" x="60"/>
        <item f="1" x="61"/>
        <item f="1" x="62"/>
        <item f="1" x="63"/>
        <item f="1" x="64"/>
        <item f="1" x="65"/>
        <item f="1" x="66"/>
        <item f="1" x="67"/>
        <item f="1" x="68"/>
        <item f="1" x="69"/>
        <item f="1" x="70"/>
        <item f="1" x="71"/>
        <item f="1" x="72"/>
        <item f="1" x="73"/>
        <item f="1" x="74"/>
        <item f="1" x="75"/>
        <item f="1" x="76"/>
        <item f="1" x="77"/>
        <item f="1" x="78"/>
        <item f="1" x="79"/>
        <item f="1" x="80"/>
        <item t="default"/>
      </items>
    </pivotField>
    <pivotField showAll="0"/>
    <pivotField showAll="0"/>
    <pivotField dataField="1" showAll="0"/>
    <pivotField showAll="0"/>
    <pivotField dragToRow="0" dragToCol="0" dragToPage="0" showAll="0" defaultSubtotal="0"/>
  </pivotFields>
  <rowFields count="1">
    <field x="3"/>
  </rowFields>
  <rowItems count="4">
    <i>
      <x/>
    </i>
    <i>
      <x v="1"/>
    </i>
    <i>
      <x v="2"/>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C2591-CB90-488F-A6BE-291D02D0DF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 firstHeaderRow="0" firstDataRow="1" firstDataCol="1"/>
  <pivotFields count="14">
    <pivotField dataField="1" showAll="0"/>
    <pivotField showAll="0"/>
    <pivotField axis="axisRow" showAll="0">
      <items count="5">
        <item x="0"/>
        <item x="1"/>
        <item x="2"/>
        <item x="3"/>
        <item t="default"/>
      </items>
    </pivotField>
    <pivotField showAll="0">
      <items count="4">
        <item x="1"/>
        <item x="0"/>
        <item x="2"/>
        <item t="default"/>
      </items>
    </pivotField>
    <pivotField showAll="0">
      <items count="13">
        <item x="4"/>
        <item x="3"/>
        <item x="2"/>
        <item x="5"/>
        <item x="10"/>
        <item x="0"/>
        <item x="1"/>
        <item x="6"/>
        <item x="9"/>
        <item x="8"/>
        <item x="11"/>
        <item x="7"/>
        <item t="default"/>
      </items>
    </pivotField>
    <pivotField showAll="0"/>
    <pivotField showAll="0"/>
    <pivotField showAll="0"/>
    <pivotField showAll="0">
      <items count="82">
        <item x="11"/>
        <item x="7"/>
        <item x="21"/>
        <item x="18"/>
        <item x="37"/>
        <item x="35"/>
        <item x="25"/>
        <item x="14"/>
        <item x="13"/>
        <item x="15"/>
        <item x="6"/>
        <item x="27"/>
        <item x="16"/>
        <item x="20"/>
        <item x="3"/>
        <item x="17"/>
        <item x="30"/>
        <item x="1"/>
        <item x="0"/>
        <item x="8"/>
        <item x="9"/>
        <item x="24"/>
        <item x="23"/>
        <item x="4"/>
        <item x="12"/>
        <item x="34"/>
        <item x="33"/>
        <item x="40"/>
        <item x="31"/>
        <item x="2"/>
        <item x="19"/>
        <item x="29"/>
        <item x="38"/>
        <item x="32"/>
        <item x="39"/>
        <item x="10"/>
        <item x="26"/>
        <item x="5"/>
        <item x="36"/>
        <item x="22"/>
        <item x="28"/>
        <item f="1" x="41"/>
        <item f="1" x="50"/>
        <item f="1" x="51"/>
        <item f="1" x="52"/>
        <item f="1" x="53"/>
        <item f="1" x="54"/>
        <item f="1" x="55"/>
        <item f="1" x="56"/>
        <item f="1" x="57"/>
        <item f="1" x="58"/>
        <item f="1" x="59"/>
        <item f="1" x="42"/>
        <item f="1" x="60"/>
        <item f="1" x="61"/>
        <item f="1" x="62"/>
        <item f="1" x="63"/>
        <item f="1" x="64"/>
        <item f="1" x="65"/>
        <item f="1" x="66"/>
        <item f="1" x="67"/>
        <item f="1" x="68"/>
        <item f="1" x="69"/>
        <item f="1" x="43"/>
        <item f="1" x="70"/>
        <item f="1" x="71"/>
        <item f="1" x="72"/>
        <item f="1" x="73"/>
        <item f="1" x="74"/>
        <item f="1" x="75"/>
        <item f="1" x="76"/>
        <item f="1" x="77"/>
        <item f="1" x="78"/>
        <item f="1" x="79"/>
        <item f="1" x="44"/>
        <item f="1" x="80"/>
        <item f="1" x="45"/>
        <item f="1" x="46"/>
        <item f="1" x="47"/>
        <item f="1" x="48"/>
        <item f="1" x="49"/>
        <item t="default"/>
      </items>
    </pivotField>
    <pivotField dataField="1" showAll="0"/>
    <pivotField showAll="0"/>
    <pivotField showAll="0"/>
    <pivotField showAl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Count of Order_ID" fld="0" subtotal="count" baseField="0" baseItem="0"/>
    <dataField name="Sum of Revenue" fld="9" baseField="0" baseItem="0"/>
  </dataFields>
  <formats count="1">
    <format dxfId="0">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880B5F-BC95-46F4-BABB-98D5540EAF9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9" firstHeaderRow="1" firstDataRow="1" firstDataCol="1"/>
  <pivotFields count="14">
    <pivotField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items count="5">
        <item x="0"/>
        <item x="1"/>
        <item x="2"/>
        <item x="3"/>
        <item t="default"/>
      </items>
    </pivotField>
    <pivotField axis="axisRow" showAll="0" sortType="ascending">
      <items count="4">
        <item x="1"/>
        <item x="0"/>
        <item x="2"/>
        <item t="default"/>
      </items>
    </pivotField>
    <pivotField axis="axisRow" showAll="0">
      <items count="13">
        <item x="4"/>
        <item x="3"/>
        <item x="2"/>
        <item x="5"/>
        <item x="10"/>
        <item x="0"/>
        <item x="1"/>
        <item x="6"/>
        <item x="9"/>
        <item x="8"/>
        <item x="11"/>
        <item x="7"/>
        <item t="default"/>
      </items>
    </pivotField>
    <pivotField showAll="0"/>
    <pivotField showAll="0"/>
    <pivotField dataField="1" showAll="0"/>
    <pivotField showAll="0">
      <items count="82">
        <item x="11"/>
        <item x="7"/>
        <item x="21"/>
        <item x="18"/>
        <item x="37"/>
        <item x="35"/>
        <item x="25"/>
        <item x="14"/>
        <item x="13"/>
        <item x="15"/>
        <item x="6"/>
        <item x="27"/>
        <item x="16"/>
        <item x="20"/>
        <item x="3"/>
        <item x="17"/>
        <item x="30"/>
        <item x="1"/>
        <item x="0"/>
        <item x="8"/>
        <item x="9"/>
        <item x="24"/>
        <item x="23"/>
        <item x="4"/>
        <item x="12"/>
        <item x="34"/>
        <item x="33"/>
        <item x="40"/>
        <item x="31"/>
        <item x="2"/>
        <item x="19"/>
        <item x="29"/>
        <item x="38"/>
        <item x="32"/>
        <item x="39"/>
        <item x="10"/>
        <item x="26"/>
        <item x="5"/>
        <item x="36"/>
        <item x="22"/>
        <item x="28"/>
        <item f="1" x="41"/>
        <item f="1" x="50"/>
        <item f="1" x="51"/>
        <item f="1" x="52"/>
        <item f="1" x="53"/>
        <item f="1" x="54"/>
        <item f="1" x="55"/>
        <item f="1" x="56"/>
        <item f="1" x="57"/>
        <item f="1" x="58"/>
        <item f="1" x="59"/>
        <item f="1" x="42"/>
        <item f="1" x="60"/>
        <item f="1" x="61"/>
        <item f="1" x="62"/>
        <item f="1" x="63"/>
        <item f="1" x="64"/>
        <item f="1" x="65"/>
        <item f="1" x="66"/>
        <item f="1" x="67"/>
        <item f="1" x="68"/>
        <item f="1" x="69"/>
        <item f="1" x="43"/>
        <item f="1" x="70"/>
        <item f="1" x="71"/>
        <item f="1" x="72"/>
        <item f="1" x="73"/>
        <item f="1" x="74"/>
        <item f="1" x="75"/>
        <item f="1" x="76"/>
        <item f="1" x="77"/>
        <item f="1" x="78"/>
        <item f="1" x="79"/>
        <item f="1" x="44"/>
        <item f="1" x="80"/>
        <item f="1" x="45"/>
        <item f="1" x="46"/>
        <item f="1" x="47"/>
        <item f="1" x="48"/>
        <item f="1" x="49"/>
        <item t="default"/>
      </items>
    </pivotField>
    <pivotField showAll="0"/>
    <pivotField showAll="0"/>
    <pivotField showAll="0"/>
    <pivotField showAll="0"/>
    <pivotField dragToRow="0" dragToCol="0" dragToPage="0" showAll="0" defaultSubtotal="0"/>
  </pivotFields>
  <rowFields count="2">
    <field x="3"/>
    <field x="4"/>
  </rowFields>
  <rowItems count="16">
    <i>
      <x/>
    </i>
    <i r="1">
      <x v="3"/>
    </i>
    <i r="1">
      <x v="4"/>
    </i>
    <i r="1">
      <x v="6"/>
    </i>
    <i r="1">
      <x v="11"/>
    </i>
    <i>
      <x v="1"/>
    </i>
    <i r="1">
      <x v="2"/>
    </i>
    <i r="1">
      <x v="5"/>
    </i>
    <i r="1">
      <x v="7"/>
    </i>
    <i r="1">
      <x v="10"/>
    </i>
    <i>
      <x v="2"/>
    </i>
    <i r="1">
      <x/>
    </i>
    <i r="1">
      <x v="1"/>
    </i>
    <i r="1">
      <x v="8"/>
    </i>
    <i r="1">
      <x v="9"/>
    </i>
    <i t="grand">
      <x/>
    </i>
  </rowItems>
  <colItems count="1">
    <i/>
  </colItems>
  <dataFields count="1">
    <dataField name="Sum of Quantity"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256175-1BF8-416E-8D04-DFA3BFE4BCC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4">
    <pivotField showAll="0"/>
    <pivotField showAll="0"/>
    <pivotField axis="axisRow" showAll="0">
      <items count="5">
        <item x="0"/>
        <item x="1"/>
        <item x="2"/>
        <item x="3"/>
        <item t="default"/>
      </items>
    </pivotField>
    <pivotField axis="axisRow" showAll="0">
      <items count="4">
        <item sd="0" x="1"/>
        <item sd="0" x="0"/>
        <item sd="0" x="2"/>
        <item t="default" sd="0"/>
      </items>
    </pivotField>
    <pivotField showAll="0">
      <items count="13">
        <item h="1" x="4"/>
        <item x="3"/>
        <item h="1" x="2"/>
        <item h="1" x="5"/>
        <item h="1" x="10"/>
        <item h="1" x="0"/>
        <item h="1" x="1"/>
        <item h="1" x="6"/>
        <item h="1" x="9"/>
        <item h="1" x="8"/>
        <item h="1" x="11"/>
        <item h="1" x="7"/>
        <item t="default"/>
      </items>
    </pivotField>
    <pivotField showAll="0"/>
    <pivotField showAll="0"/>
    <pivotField showAll="0"/>
    <pivotField showAll="0">
      <items count="82">
        <item x="11"/>
        <item x="7"/>
        <item x="21"/>
        <item x="18"/>
        <item x="37"/>
        <item x="35"/>
        <item x="25"/>
        <item x="14"/>
        <item x="13"/>
        <item x="15"/>
        <item x="6"/>
        <item x="27"/>
        <item x="16"/>
        <item x="20"/>
        <item x="3"/>
        <item x="17"/>
        <item x="30"/>
        <item x="1"/>
        <item x="0"/>
        <item x="8"/>
        <item x="9"/>
        <item x="24"/>
        <item x="23"/>
        <item x="4"/>
        <item x="12"/>
        <item x="34"/>
        <item x="33"/>
        <item x="40"/>
        <item x="31"/>
        <item x="2"/>
        <item x="19"/>
        <item x="29"/>
        <item x="38"/>
        <item x="32"/>
        <item x="39"/>
        <item x="10"/>
        <item x="26"/>
        <item x="5"/>
        <item x="36"/>
        <item x="22"/>
        <item x="28"/>
        <item f="1" x="41"/>
        <item f="1" x="50"/>
        <item f="1" x="51"/>
        <item f="1" x="52"/>
        <item f="1" x="53"/>
        <item f="1" x="54"/>
        <item f="1" x="55"/>
        <item f="1" x="56"/>
        <item f="1" x="57"/>
        <item f="1" x="58"/>
        <item f="1" x="59"/>
        <item f="1" x="42"/>
        <item f="1" x="60"/>
        <item f="1" x="61"/>
        <item f="1" x="62"/>
        <item f="1" x="63"/>
        <item f="1" x="64"/>
        <item f="1" x="65"/>
        <item f="1" x="66"/>
        <item f="1" x="67"/>
        <item f="1" x="68"/>
        <item f="1" x="69"/>
        <item f="1" x="43"/>
        <item f="1" x="70"/>
        <item f="1" x="71"/>
        <item f="1" x="72"/>
        <item f="1" x="73"/>
        <item f="1" x="74"/>
        <item f="1" x="75"/>
        <item f="1" x="76"/>
        <item f="1" x="77"/>
        <item f="1" x="78"/>
        <item f="1" x="79"/>
        <item f="1" x="44"/>
        <item f="1" x="80"/>
        <item f="1" x="45"/>
        <item f="1" x="46"/>
        <item f="1" x="47"/>
        <item f="1" x="48"/>
        <item f="1" x="49"/>
        <item t="default"/>
      </items>
    </pivotField>
    <pivotField showAll="0"/>
    <pivotField dataField="1" showAll="0"/>
    <pivotField showAll="0"/>
    <pivotField showAll="0"/>
    <pivotField dragToRow="0" dragToCol="0" dragToPage="0" showAll="0" defaultSubtotal="0"/>
  </pivotFields>
  <rowFields count="2">
    <field x="3"/>
    <field x="2"/>
  </rowFields>
  <rowItems count="4">
    <i>
      <x/>
    </i>
    <i>
      <x v="1"/>
    </i>
    <i>
      <x v="2"/>
    </i>
    <i t="grand">
      <x/>
    </i>
  </rowItems>
  <colItems count="1">
    <i/>
  </colItems>
  <dataFields count="1">
    <dataField name="Max of Discount_Amount" fld="10" subtotal="max" baseField="2" baseItem="0"/>
  </dataFields>
  <chartFormats count="16">
    <chartFormat chart="4" format="14" series="1">
      <pivotArea type="data" outline="0" fieldPosition="0">
        <references count="1">
          <reference field="4294967294" count="1" selected="0">
            <x v="0"/>
          </reference>
        </references>
      </pivotArea>
    </chartFormat>
    <chartFormat chart="4" format="15">
      <pivotArea type="data" outline="0" fieldPosition="0">
        <references count="3">
          <reference field="4294967294" count="1" selected="0">
            <x v="0"/>
          </reference>
          <reference field="2" count="1" selected="0">
            <x v="0"/>
          </reference>
          <reference field="3" count="1" selected="0">
            <x v="0"/>
          </reference>
        </references>
      </pivotArea>
    </chartFormat>
    <chartFormat chart="4" format="16">
      <pivotArea type="data" outline="0" fieldPosition="0">
        <references count="3">
          <reference field="4294967294" count="1" selected="0">
            <x v="0"/>
          </reference>
          <reference field="2" count="1" selected="0">
            <x v="1"/>
          </reference>
          <reference field="3" count="1" selected="0">
            <x v="0"/>
          </reference>
        </references>
      </pivotArea>
    </chartFormat>
    <chartFormat chart="4" format="17">
      <pivotArea type="data" outline="0" fieldPosition="0">
        <references count="3">
          <reference field="4294967294" count="1" selected="0">
            <x v="0"/>
          </reference>
          <reference field="2" count="1" selected="0">
            <x v="2"/>
          </reference>
          <reference field="3" count="1" selected="0">
            <x v="0"/>
          </reference>
        </references>
      </pivotArea>
    </chartFormat>
    <chartFormat chart="4" format="18">
      <pivotArea type="data" outline="0" fieldPosition="0">
        <references count="3">
          <reference field="4294967294" count="1" selected="0">
            <x v="0"/>
          </reference>
          <reference field="2" count="1" selected="0">
            <x v="3"/>
          </reference>
          <reference field="3" count="1" selected="0">
            <x v="0"/>
          </reference>
        </references>
      </pivotArea>
    </chartFormat>
    <chartFormat chart="4" format="19">
      <pivotArea type="data" outline="0" fieldPosition="0">
        <references count="3">
          <reference field="4294967294" count="1" selected="0">
            <x v="0"/>
          </reference>
          <reference field="2" count="1" selected="0">
            <x v="0"/>
          </reference>
          <reference field="3" count="1" selected="0">
            <x v="1"/>
          </reference>
        </references>
      </pivotArea>
    </chartFormat>
    <chartFormat chart="4" format="20">
      <pivotArea type="data" outline="0" fieldPosition="0">
        <references count="3">
          <reference field="4294967294" count="1" selected="0">
            <x v="0"/>
          </reference>
          <reference field="2" count="1" selected="0">
            <x v="1"/>
          </reference>
          <reference field="3" count="1" selected="0">
            <x v="1"/>
          </reference>
        </references>
      </pivotArea>
    </chartFormat>
    <chartFormat chart="4" format="21">
      <pivotArea type="data" outline="0" fieldPosition="0">
        <references count="3">
          <reference field="4294967294" count="1" selected="0">
            <x v="0"/>
          </reference>
          <reference field="2" count="1" selected="0">
            <x v="2"/>
          </reference>
          <reference field="3" count="1" selected="0">
            <x v="1"/>
          </reference>
        </references>
      </pivotArea>
    </chartFormat>
    <chartFormat chart="4" format="22">
      <pivotArea type="data" outline="0" fieldPosition="0">
        <references count="3">
          <reference field="4294967294" count="1" selected="0">
            <x v="0"/>
          </reference>
          <reference field="2" count="1" selected="0">
            <x v="3"/>
          </reference>
          <reference field="3" count="1" selected="0">
            <x v="1"/>
          </reference>
        </references>
      </pivotArea>
    </chartFormat>
    <chartFormat chart="4" format="23">
      <pivotArea type="data" outline="0" fieldPosition="0">
        <references count="3">
          <reference field="4294967294" count="1" selected="0">
            <x v="0"/>
          </reference>
          <reference field="2" count="1" selected="0">
            <x v="0"/>
          </reference>
          <reference field="3" count="1" selected="0">
            <x v="2"/>
          </reference>
        </references>
      </pivotArea>
    </chartFormat>
    <chartFormat chart="4" format="24">
      <pivotArea type="data" outline="0" fieldPosition="0">
        <references count="3">
          <reference field="4294967294" count="1" selected="0">
            <x v="0"/>
          </reference>
          <reference field="2" count="1" selected="0">
            <x v="1"/>
          </reference>
          <reference field="3" count="1" selected="0">
            <x v="2"/>
          </reference>
        </references>
      </pivotArea>
    </chartFormat>
    <chartFormat chart="4" format="25">
      <pivotArea type="data" outline="0" fieldPosition="0">
        <references count="3">
          <reference field="4294967294" count="1" selected="0">
            <x v="0"/>
          </reference>
          <reference field="2" count="1" selected="0">
            <x v="2"/>
          </reference>
          <reference field="3" count="1" selected="0">
            <x v="2"/>
          </reference>
        </references>
      </pivotArea>
    </chartFormat>
    <chartFormat chart="4" format="26">
      <pivotArea type="data" outline="0" fieldPosition="0">
        <references count="3">
          <reference field="4294967294" count="1" selected="0">
            <x v="0"/>
          </reference>
          <reference field="2" count="1" selected="0">
            <x v="3"/>
          </reference>
          <reference field="3" count="1" selected="0">
            <x v="2"/>
          </reference>
        </references>
      </pivotArea>
    </chartFormat>
    <chartFormat chart="4" format="27">
      <pivotArea type="data" outline="0" fieldPosition="0">
        <references count="2">
          <reference field="4294967294" count="1" selected="0">
            <x v="0"/>
          </reference>
          <reference field="3" count="1" selected="0">
            <x v="0"/>
          </reference>
        </references>
      </pivotArea>
    </chartFormat>
    <chartFormat chart="4" format="28">
      <pivotArea type="data" outline="0" fieldPosition="0">
        <references count="2">
          <reference field="4294967294" count="1" selected="0">
            <x v="0"/>
          </reference>
          <reference field="3" count="1" selected="0">
            <x v="1"/>
          </reference>
        </references>
      </pivotArea>
    </chartFormat>
    <chartFormat chart="4" format="2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A7740A1-E41E-4778-A04E-687B05E66F2A}" sourceName="Product_Category">
  <pivotTables>
    <pivotTable tabId="2" name="PivotTable1"/>
  </pivotTables>
  <data>
    <tabular pivotCacheId="60527255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DA7E22-1EFA-4F42-A75B-E4E40C0AABDE}" sourceName="Region">
  <pivotTables>
    <pivotTable tabId="11" name="PivotTable12"/>
  </pivotTables>
  <data>
    <tabular pivotCacheId="60527255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0DF7B1A6-BD6E-4F31-8EDB-B46B42F15DCC}" sourceName="Product_Category">
  <pivotTables>
    <pivotTable tabId="7" name="PivotTable6"/>
  </pivotTables>
  <data>
    <tabular pivotCacheId="60527255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F4CDF63-E511-4966-BC6F-B088F9FE0969}" sourceName="Product_Name">
  <pivotTables>
    <pivotTable tabId="7" name="PivotTable6"/>
  </pivotTables>
  <data>
    <tabular pivotCacheId="605272550">
      <items count="12">
        <i x="4" s="1"/>
        <i x="3" s="1"/>
        <i x="2" s="1"/>
        <i x="5" s="1"/>
        <i x="10" s="1"/>
        <i x="0" s="1"/>
        <i x="1" s="1"/>
        <i x="6" s="1"/>
        <i x="9" s="1"/>
        <i x="8" s="1"/>
        <i x="1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DA76B450-822F-4C9C-B6FD-98C266598E43}" cache="Slicer_Product_Category" caption="Product_Category" rowHeight="234950"/>
  <slicer name="Region" xr10:uid="{C5BF2BEA-5FC6-4D9F-9715-62988582AB51}" cache="Slicer_Region" caption="Region" rowHeight="234950"/>
  <slicer name="Product_Category 1" xr10:uid="{1648B4E9-743F-4276-A4C7-F9538E59E8EA}" cache="Slicer_Product_Category1" caption="Product_Category" rowHeight="234950"/>
  <slicer name="Product_Name" xr10:uid="{6833000C-627D-4B2A-8036-5716334E7A91}" cache="Slicer_Product_Name" caption="Product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02D32A-40A6-4275-990E-BBA7BB994091}" name="Table2" displayName="Table2" ref="A3:M353" totalsRowShown="0">
  <autoFilter ref="A3:M353" xr:uid="{4802D32A-40A6-4275-990E-BBA7BB994091}"/>
  <tableColumns count="13">
    <tableColumn id="1" xr3:uid="{8BD18C99-049B-4D4A-958A-C8E90D41FBBD}" name="Order_ID"/>
    <tableColumn id="2" xr3:uid="{3630F6C8-2C1E-4FBA-A2B4-7D109E718F53}" name="Order_Date"/>
    <tableColumn id="3" xr3:uid="{794624B2-2E3E-40F0-97C0-701E45CD2168}" name="Region"/>
    <tableColumn id="4" xr3:uid="{3CD46B05-D304-4219-958E-BAAD81F455B8}" name="Product_Category"/>
    <tableColumn id="5" xr3:uid="{49ED185E-AC57-4EEE-9A7A-086B5D96608A}" name="Product_Name"/>
    <tableColumn id="6" xr3:uid="{D8558DCB-4C61-4AB2-8BF4-507E944A8C93}" name="Unit_Price"/>
    <tableColumn id="7" xr3:uid="{7665C424-EC28-4F66-848A-5910B133A4C5}" name="Cost_Price"/>
    <tableColumn id="8" xr3:uid="{892B72DD-7123-4024-B204-23E12D2E76C7}" name="Quantity"/>
    <tableColumn id="9" xr3:uid="{8898DBA1-1BCD-484E-8A01-AC1EC1EB8FDA}" name="Discount_Percent"/>
    <tableColumn id="10" xr3:uid="{86ADEABE-8491-4E12-A6AB-4D27F4F2BD61}" name="Revenue"/>
    <tableColumn id="11" xr3:uid="{EABAE185-EB71-4AC8-B101-4ED2F5442163}" name="Discount_Amount"/>
    <tableColumn id="12" xr3:uid="{EF6DC3F8-7CEF-42F1-9FBA-3EB46E2429C3}" name="Profit"/>
    <tableColumn id="13" xr3:uid="{937A9E59-2CF8-4A40-B63C-77718F0413D0}" name="Profit_Margin_Perc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1"/>
  <sheetViews>
    <sheetView workbookViewId="0">
      <selection activeCell="E7" sqref="E7"/>
    </sheetView>
  </sheetViews>
  <sheetFormatPr defaultRowHeight="14.4" x14ac:dyDescent="0.3"/>
  <cols>
    <col min="1" max="1" width="12" customWidth="1"/>
    <col min="2" max="2" width="16.77734375" customWidth="1"/>
    <col min="4" max="4" width="15.6640625" customWidth="1"/>
    <col min="5" max="5" width="19.5546875" customWidth="1"/>
    <col min="6" max="6" width="14.21875" customWidth="1"/>
    <col min="7" max="7" width="11.88671875" customWidth="1"/>
    <col min="9" max="9" width="19.109375" customWidth="1"/>
    <col min="11" max="11" width="15.44140625" customWidth="1"/>
    <col min="13" max="13" width="18.6640625" customWidth="1"/>
  </cols>
  <sheetData>
    <row r="1" spans="1:13" x14ac:dyDescent="0.3">
      <c r="A1" t="s">
        <v>0</v>
      </c>
      <c r="B1" t="s">
        <v>1</v>
      </c>
      <c r="C1" t="s">
        <v>2</v>
      </c>
      <c r="D1" t="s">
        <v>3</v>
      </c>
      <c r="E1" t="s">
        <v>4</v>
      </c>
      <c r="F1" t="s">
        <v>5</v>
      </c>
      <c r="G1" t="s">
        <v>6</v>
      </c>
      <c r="H1" t="s">
        <v>7</v>
      </c>
      <c r="I1" t="s">
        <v>8</v>
      </c>
      <c r="J1" t="s">
        <v>9</v>
      </c>
      <c r="K1" t="s">
        <v>10</v>
      </c>
      <c r="L1" t="s">
        <v>11</v>
      </c>
      <c r="M1" s="4" t="s">
        <v>12</v>
      </c>
    </row>
    <row r="2" spans="1:13" x14ac:dyDescent="0.3">
      <c r="A2" t="s">
        <v>13</v>
      </c>
      <c r="B2" t="s">
        <v>14</v>
      </c>
      <c r="C2" t="s">
        <v>15</v>
      </c>
      <c r="D2" t="s">
        <v>16</v>
      </c>
      <c r="E2" t="s">
        <v>17</v>
      </c>
      <c r="F2">
        <v>5772</v>
      </c>
      <c r="G2">
        <v>4716.21</v>
      </c>
      <c r="H2">
        <v>5</v>
      </c>
      <c r="I2" s="3">
        <v>0.18</v>
      </c>
      <c r="J2">
        <f>F2*H2</f>
        <v>28860</v>
      </c>
      <c r="K2">
        <f t="shared" ref="K2:K65" si="0">J2*I2</f>
        <v>5194.8</v>
      </c>
      <c r="L2">
        <f t="shared" ref="L2:L65" si="1">J2-(G2*H2)-K2</f>
        <v>84.150000000000546</v>
      </c>
      <c r="M2" s="4">
        <f t="shared" ref="M2:M65" si="2">(L2/J2)*100</f>
        <v>0.29158004158004347</v>
      </c>
    </row>
    <row r="3" spans="1:13" x14ac:dyDescent="0.3">
      <c r="A3" t="s">
        <v>18</v>
      </c>
      <c r="B3" t="s">
        <v>19</v>
      </c>
      <c r="C3" t="s">
        <v>20</v>
      </c>
      <c r="D3" t="s">
        <v>21</v>
      </c>
      <c r="E3" t="s">
        <v>22</v>
      </c>
      <c r="F3">
        <v>673</v>
      </c>
      <c r="G3">
        <v>466.11</v>
      </c>
      <c r="H3">
        <v>9</v>
      </c>
      <c r="I3" s="3">
        <v>0.17</v>
      </c>
      <c r="J3">
        <f t="shared" ref="J3:J65" si="3">F3*H3</f>
        <v>6057</v>
      </c>
      <c r="K3">
        <f t="shared" si="0"/>
        <v>1029.69</v>
      </c>
      <c r="L3">
        <f t="shared" si="1"/>
        <v>832.32000000000016</v>
      </c>
      <c r="M3" s="4">
        <f t="shared" si="2"/>
        <v>13.741456166419022</v>
      </c>
    </row>
    <row r="4" spans="1:13" x14ac:dyDescent="0.3">
      <c r="A4" t="s">
        <v>23</v>
      </c>
      <c r="B4" t="s">
        <v>24</v>
      </c>
      <c r="C4" t="s">
        <v>25</v>
      </c>
      <c r="D4" t="s">
        <v>16</v>
      </c>
      <c r="E4" t="s">
        <v>26</v>
      </c>
      <c r="F4">
        <v>3545</v>
      </c>
      <c r="G4">
        <v>2762.16</v>
      </c>
      <c r="H4">
        <v>4</v>
      </c>
      <c r="I4" s="3">
        <v>0.28999999999999998</v>
      </c>
      <c r="J4">
        <f t="shared" si="3"/>
        <v>14180</v>
      </c>
      <c r="K4">
        <f t="shared" si="0"/>
        <v>4112.2</v>
      </c>
      <c r="L4">
        <f t="shared" si="1"/>
        <v>-980.83999999999924</v>
      </c>
      <c r="M4" s="4">
        <f t="shared" si="2"/>
        <v>-6.9170662905500651</v>
      </c>
    </row>
    <row r="5" spans="1:13" x14ac:dyDescent="0.3">
      <c r="A5" t="s">
        <v>27</v>
      </c>
      <c r="B5" t="s">
        <v>28</v>
      </c>
      <c r="C5" t="s">
        <v>29</v>
      </c>
      <c r="D5" t="s">
        <v>30</v>
      </c>
      <c r="E5" t="s">
        <v>31</v>
      </c>
      <c r="F5">
        <v>3769</v>
      </c>
      <c r="G5">
        <v>2214.0300000000002</v>
      </c>
      <c r="H5">
        <v>6</v>
      </c>
      <c r="I5" s="3">
        <v>0.14000000000000001</v>
      </c>
      <c r="J5">
        <f t="shared" si="3"/>
        <v>22614</v>
      </c>
      <c r="K5">
        <f t="shared" si="0"/>
        <v>3165.9600000000005</v>
      </c>
      <c r="L5">
        <f t="shared" si="1"/>
        <v>6163.8599999999988</v>
      </c>
      <c r="M5" s="4">
        <f t="shared" si="2"/>
        <v>27.256832050941888</v>
      </c>
    </row>
    <row r="6" spans="1:13" x14ac:dyDescent="0.3">
      <c r="A6" t="s">
        <v>32</v>
      </c>
      <c r="B6" t="s">
        <v>33</v>
      </c>
      <c r="C6" t="s">
        <v>20</v>
      </c>
      <c r="D6" t="s">
        <v>30</v>
      </c>
      <c r="E6" t="s">
        <v>34</v>
      </c>
      <c r="F6">
        <v>2537</v>
      </c>
      <c r="G6">
        <v>1711.58</v>
      </c>
      <c r="H6">
        <v>10</v>
      </c>
      <c r="I6" s="3">
        <v>0.23</v>
      </c>
      <c r="J6">
        <f t="shared" si="3"/>
        <v>25370</v>
      </c>
      <c r="K6">
        <f t="shared" si="0"/>
        <v>5835.1</v>
      </c>
      <c r="L6">
        <f t="shared" si="1"/>
        <v>2419.1000000000004</v>
      </c>
      <c r="M6" s="4">
        <f t="shared" si="2"/>
        <v>9.5352778872684283</v>
      </c>
    </row>
    <row r="7" spans="1:13" x14ac:dyDescent="0.3">
      <c r="A7" t="s">
        <v>35</v>
      </c>
      <c r="B7" t="s">
        <v>36</v>
      </c>
      <c r="C7" t="s">
        <v>25</v>
      </c>
      <c r="D7" t="s">
        <v>21</v>
      </c>
      <c r="E7" t="s">
        <v>37</v>
      </c>
      <c r="F7">
        <v>1091</v>
      </c>
      <c r="G7">
        <v>838.06</v>
      </c>
      <c r="H7">
        <v>6</v>
      </c>
      <c r="I7" s="3">
        <v>0.37</v>
      </c>
      <c r="J7">
        <f t="shared" si="3"/>
        <v>6546</v>
      </c>
      <c r="K7">
        <f t="shared" si="0"/>
        <v>2422.02</v>
      </c>
      <c r="L7">
        <f t="shared" si="1"/>
        <v>-904.37999999999965</v>
      </c>
      <c r="M7" s="4">
        <f t="shared" si="2"/>
        <v>-13.815765352887254</v>
      </c>
    </row>
    <row r="8" spans="1:13" x14ac:dyDescent="0.3">
      <c r="A8" t="s">
        <v>38</v>
      </c>
      <c r="B8" t="s">
        <v>39</v>
      </c>
      <c r="C8" t="s">
        <v>29</v>
      </c>
      <c r="D8" t="s">
        <v>16</v>
      </c>
      <c r="E8" t="s">
        <v>40</v>
      </c>
      <c r="F8">
        <v>2526</v>
      </c>
      <c r="G8">
        <v>2041.92</v>
      </c>
      <c r="H8">
        <v>5</v>
      </c>
      <c r="I8" s="3">
        <v>0.1</v>
      </c>
      <c r="J8">
        <f t="shared" si="3"/>
        <v>12630</v>
      </c>
      <c r="K8">
        <f t="shared" si="0"/>
        <v>1263</v>
      </c>
      <c r="L8">
        <f t="shared" si="1"/>
        <v>1157.3999999999996</v>
      </c>
      <c r="M8" s="4">
        <f t="shared" si="2"/>
        <v>9.1638954869358642</v>
      </c>
    </row>
    <row r="9" spans="1:13" x14ac:dyDescent="0.3">
      <c r="A9" t="s">
        <v>41</v>
      </c>
      <c r="B9" t="s">
        <v>42</v>
      </c>
      <c r="C9" t="s">
        <v>20</v>
      </c>
      <c r="D9" t="s">
        <v>16</v>
      </c>
      <c r="E9" t="s">
        <v>40</v>
      </c>
      <c r="F9">
        <v>2492</v>
      </c>
      <c r="G9">
        <v>1409.56</v>
      </c>
      <c r="H9">
        <v>2</v>
      </c>
      <c r="I9" s="3">
        <v>0.01</v>
      </c>
      <c r="J9">
        <f t="shared" si="3"/>
        <v>4984</v>
      </c>
      <c r="K9">
        <f t="shared" si="0"/>
        <v>49.84</v>
      </c>
      <c r="L9">
        <f t="shared" si="1"/>
        <v>2115.04</v>
      </c>
      <c r="M9" s="4">
        <f t="shared" si="2"/>
        <v>42.436597110754413</v>
      </c>
    </row>
    <row r="10" spans="1:13" x14ac:dyDescent="0.3">
      <c r="A10" t="s">
        <v>43</v>
      </c>
      <c r="B10" t="s">
        <v>44</v>
      </c>
      <c r="C10" t="s">
        <v>20</v>
      </c>
      <c r="D10" t="s">
        <v>16</v>
      </c>
      <c r="E10" t="s">
        <v>17</v>
      </c>
      <c r="F10">
        <v>3077</v>
      </c>
      <c r="G10">
        <v>2113.63</v>
      </c>
      <c r="H10">
        <v>8</v>
      </c>
      <c r="I10" s="3">
        <v>0.19</v>
      </c>
      <c r="J10">
        <f t="shared" si="3"/>
        <v>24616</v>
      </c>
      <c r="K10">
        <f t="shared" si="0"/>
        <v>4677.04</v>
      </c>
      <c r="L10">
        <f t="shared" si="1"/>
        <v>3029.9199999999992</v>
      </c>
      <c r="M10" s="4">
        <f t="shared" si="2"/>
        <v>12.30874228144296</v>
      </c>
    </row>
    <row r="11" spans="1:13" x14ac:dyDescent="0.3">
      <c r="A11" t="s">
        <v>45</v>
      </c>
      <c r="B11" t="s">
        <v>46</v>
      </c>
      <c r="C11" t="s">
        <v>15</v>
      </c>
      <c r="D11" t="s">
        <v>21</v>
      </c>
      <c r="E11" t="s">
        <v>47</v>
      </c>
      <c r="F11">
        <v>2121</v>
      </c>
      <c r="G11">
        <v>1665.78</v>
      </c>
      <c r="H11">
        <v>9</v>
      </c>
      <c r="I11" s="3">
        <v>0.19</v>
      </c>
      <c r="J11">
        <f t="shared" si="3"/>
        <v>19089</v>
      </c>
      <c r="K11">
        <f t="shared" si="0"/>
        <v>3626.91</v>
      </c>
      <c r="L11">
        <f t="shared" si="1"/>
        <v>470.06999999999971</v>
      </c>
      <c r="M11" s="4">
        <f t="shared" si="2"/>
        <v>2.4625176803394608</v>
      </c>
    </row>
    <row r="12" spans="1:13" x14ac:dyDescent="0.3">
      <c r="A12" t="s">
        <v>48</v>
      </c>
      <c r="B12" t="s">
        <v>49</v>
      </c>
      <c r="C12" t="s">
        <v>15</v>
      </c>
      <c r="D12" t="s">
        <v>16</v>
      </c>
      <c r="E12" t="s">
        <v>40</v>
      </c>
      <c r="F12">
        <v>3153</v>
      </c>
      <c r="G12">
        <v>1878.18</v>
      </c>
      <c r="H12">
        <v>9</v>
      </c>
      <c r="I12" s="3">
        <v>0.18</v>
      </c>
      <c r="J12">
        <f t="shared" si="3"/>
        <v>28377</v>
      </c>
      <c r="K12">
        <f t="shared" si="0"/>
        <v>5107.8599999999997</v>
      </c>
      <c r="L12">
        <f t="shared" si="1"/>
        <v>6365.5200000000013</v>
      </c>
      <c r="M12" s="4">
        <f t="shared" si="2"/>
        <v>22.431969552806855</v>
      </c>
    </row>
    <row r="13" spans="1:13" x14ac:dyDescent="0.3">
      <c r="A13" t="s">
        <v>50</v>
      </c>
      <c r="B13" t="s">
        <v>51</v>
      </c>
      <c r="C13" t="s">
        <v>20</v>
      </c>
      <c r="D13" t="s">
        <v>16</v>
      </c>
      <c r="E13" t="s">
        <v>17</v>
      </c>
      <c r="F13">
        <v>2731</v>
      </c>
      <c r="G13">
        <v>2116.7199999999998</v>
      </c>
      <c r="H13">
        <v>10</v>
      </c>
      <c r="I13" s="3">
        <v>0.01</v>
      </c>
      <c r="J13">
        <f t="shared" si="3"/>
        <v>27310</v>
      </c>
      <c r="K13">
        <f t="shared" si="0"/>
        <v>273.10000000000002</v>
      </c>
      <c r="L13">
        <f t="shared" si="1"/>
        <v>5869.7000000000025</v>
      </c>
      <c r="M13" s="4">
        <f t="shared" si="2"/>
        <v>21.49285975833029</v>
      </c>
    </row>
    <row r="14" spans="1:13" x14ac:dyDescent="0.3">
      <c r="A14" t="s">
        <v>52</v>
      </c>
      <c r="B14" t="s">
        <v>53</v>
      </c>
      <c r="C14" t="s">
        <v>20</v>
      </c>
      <c r="D14" t="s">
        <v>21</v>
      </c>
      <c r="E14" t="s">
        <v>47</v>
      </c>
      <c r="F14">
        <v>1709</v>
      </c>
      <c r="G14">
        <v>1048.79</v>
      </c>
      <c r="H14">
        <v>7</v>
      </c>
      <c r="I14" s="3">
        <v>0.2</v>
      </c>
      <c r="J14">
        <f t="shared" si="3"/>
        <v>11963</v>
      </c>
      <c r="K14">
        <f t="shared" si="0"/>
        <v>2392.6</v>
      </c>
      <c r="L14">
        <f t="shared" si="1"/>
        <v>2228.8700000000003</v>
      </c>
      <c r="M14" s="4">
        <f t="shared" si="2"/>
        <v>18.631363370392044</v>
      </c>
    </row>
    <row r="15" spans="1:13" x14ac:dyDescent="0.3">
      <c r="A15" t="s">
        <v>54</v>
      </c>
      <c r="B15" t="s">
        <v>55</v>
      </c>
      <c r="C15" t="s">
        <v>25</v>
      </c>
      <c r="D15" t="s">
        <v>30</v>
      </c>
      <c r="E15" t="s">
        <v>56</v>
      </c>
      <c r="F15">
        <v>1677</v>
      </c>
      <c r="G15">
        <v>1012.67</v>
      </c>
      <c r="H15">
        <v>5</v>
      </c>
      <c r="I15" s="3">
        <v>0.35</v>
      </c>
      <c r="J15">
        <f t="shared" si="3"/>
        <v>8385</v>
      </c>
      <c r="K15">
        <f t="shared" si="0"/>
        <v>2934.75</v>
      </c>
      <c r="L15">
        <f t="shared" si="1"/>
        <v>386.90000000000055</v>
      </c>
      <c r="M15" s="4">
        <f t="shared" si="2"/>
        <v>4.6141920095408535</v>
      </c>
    </row>
    <row r="16" spans="1:13" x14ac:dyDescent="0.3">
      <c r="A16" t="s">
        <v>57</v>
      </c>
      <c r="B16" t="s">
        <v>58</v>
      </c>
      <c r="C16" t="s">
        <v>29</v>
      </c>
      <c r="D16" t="s">
        <v>30</v>
      </c>
      <c r="E16" t="s">
        <v>59</v>
      </c>
      <c r="F16">
        <v>2394</v>
      </c>
      <c r="G16">
        <v>2017.7</v>
      </c>
      <c r="H16">
        <v>5</v>
      </c>
      <c r="I16" s="3">
        <v>0</v>
      </c>
      <c r="J16">
        <f t="shared" si="3"/>
        <v>11970</v>
      </c>
      <c r="K16">
        <f t="shared" si="0"/>
        <v>0</v>
      </c>
      <c r="L16">
        <f t="shared" si="1"/>
        <v>1881.5</v>
      </c>
      <c r="M16" s="4">
        <f t="shared" si="2"/>
        <v>15.718462823725982</v>
      </c>
    </row>
    <row r="17" spans="1:13" x14ac:dyDescent="0.3">
      <c r="A17" t="s">
        <v>60</v>
      </c>
      <c r="B17" t="s">
        <v>61</v>
      </c>
      <c r="C17" t="s">
        <v>20</v>
      </c>
      <c r="D17" t="s">
        <v>21</v>
      </c>
      <c r="E17" t="s">
        <v>62</v>
      </c>
      <c r="F17">
        <v>734</v>
      </c>
      <c r="G17">
        <v>608.34</v>
      </c>
      <c r="H17">
        <v>4</v>
      </c>
      <c r="I17" s="3">
        <v>0.18</v>
      </c>
      <c r="J17">
        <f t="shared" si="3"/>
        <v>2936</v>
      </c>
      <c r="K17">
        <f t="shared" si="0"/>
        <v>528.48</v>
      </c>
      <c r="L17">
        <f t="shared" si="1"/>
        <v>-25.840000000000146</v>
      </c>
      <c r="M17" s="4">
        <f t="shared" si="2"/>
        <v>-0.88010899182561808</v>
      </c>
    </row>
    <row r="18" spans="1:13" x14ac:dyDescent="0.3">
      <c r="A18" t="s">
        <v>63</v>
      </c>
      <c r="B18" t="s">
        <v>64</v>
      </c>
      <c r="C18" t="s">
        <v>29</v>
      </c>
      <c r="D18" t="s">
        <v>30</v>
      </c>
      <c r="E18" t="s">
        <v>31</v>
      </c>
      <c r="F18">
        <v>2696</v>
      </c>
      <c r="G18">
        <v>1834.95</v>
      </c>
      <c r="H18">
        <v>4</v>
      </c>
      <c r="I18" s="3">
        <v>0.24</v>
      </c>
      <c r="J18">
        <f t="shared" si="3"/>
        <v>10784</v>
      </c>
      <c r="K18">
        <f t="shared" si="0"/>
        <v>2588.16</v>
      </c>
      <c r="L18">
        <f t="shared" si="1"/>
        <v>856.04</v>
      </c>
      <c r="M18" s="4">
        <f t="shared" si="2"/>
        <v>7.9380563798219574</v>
      </c>
    </row>
    <row r="19" spans="1:13" x14ac:dyDescent="0.3">
      <c r="A19" t="s">
        <v>65</v>
      </c>
      <c r="B19" t="s">
        <v>66</v>
      </c>
      <c r="C19" t="s">
        <v>20</v>
      </c>
      <c r="D19" t="s">
        <v>21</v>
      </c>
      <c r="E19" t="s">
        <v>62</v>
      </c>
      <c r="F19">
        <v>557</v>
      </c>
      <c r="G19">
        <v>368.92</v>
      </c>
      <c r="H19">
        <v>3</v>
      </c>
      <c r="I19" s="3">
        <v>0.08</v>
      </c>
      <c r="J19">
        <f t="shared" si="3"/>
        <v>1671</v>
      </c>
      <c r="K19">
        <f t="shared" si="0"/>
        <v>133.68</v>
      </c>
      <c r="L19">
        <f t="shared" si="1"/>
        <v>430.56</v>
      </c>
      <c r="M19" s="4">
        <f t="shared" si="2"/>
        <v>25.766606822262116</v>
      </c>
    </row>
    <row r="20" spans="1:13" x14ac:dyDescent="0.3">
      <c r="A20" t="s">
        <v>67</v>
      </c>
      <c r="B20" t="s">
        <v>68</v>
      </c>
      <c r="C20" t="s">
        <v>15</v>
      </c>
      <c r="D20" t="s">
        <v>16</v>
      </c>
      <c r="E20" t="s">
        <v>26</v>
      </c>
      <c r="F20">
        <v>5278</v>
      </c>
      <c r="G20">
        <v>3934.5</v>
      </c>
      <c r="H20">
        <v>1</v>
      </c>
      <c r="I20" s="3">
        <v>7.0000000000000007E-2</v>
      </c>
      <c r="J20">
        <f t="shared" si="3"/>
        <v>5278</v>
      </c>
      <c r="K20">
        <f t="shared" si="0"/>
        <v>369.46000000000004</v>
      </c>
      <c r="L20">
        <f t="shared" si="1"/>
        <v>974.04</v>
      </c>
      <c r="M20" s="4">
        <f t="shared" si="2"/>
        <v>18.454717696097006</v>
      </c>
    </row>
    <row r="21" spans="1:13" x14ac:dyDescent="0.3">
      <c r="A21" t="s">
        <v>69</v>
      </c>
      <c r="B21" t="s">
        <v>70</v>
      </c>
      <c r="C21" t="s">
        <v>20</v>
      </c>
      <c r="D21" t="s">
        <v>16</v>
      </c>
      <c r="E21" t="s">
        <v>26</v>
      </c>
      <c r="F21">
        <v>4432</v>
      </c>
      <c r="G21">
        <v>3511.48</v>
      </c>
      <c r="H21">
        <v>2</v>
      </c>
      <c r="I21" s="3">
        <v>0.09</v>
      </c>
      <c r="J21">
        <f t="shared" si="3"/>
        <v>8864</v>
      </c>
      <c r="K21">
        <f t="shared" si="0"/>
        <v>797.76</v>
      </c>
      <c r="L21">
        <f t="shared" si="1"/>
        <v>1043.28</v>
      </c>
      <c r="M21" s="4">
        <f t="shared" si="2"/>
        <v>11.769855595667869</v>
      </c>
    </row>
    <row r="22" spans="1:13" x14ac:dyDescent="0.3">
      <c r="A22" t="s">
        <v>71</v>
      </c>
      <c r="B22" t="s">
        <v>72</v>
      </c>
      <c r="C22" t="s">
        <v>15</v>
      </c>
      <c r="D22" t="s">
        <v>21</v>
      </c>
      <c r="E22" t="s">
        <v>62</v>
      </c>
      <c r="F22">
        <v>1838</v>
      </c>
      <c r="G22">
        <v>1248.6300000000001</v>
      </c>
      <c r="H22">
        <v>6</v>
      </c>
      <c r="I22" s="3">
        <v>0.1</v>
      </c>
      <c r="J22">
        <f t="shared" si="3"/>
        <v>11028</v>
      </c>
      <c r="K22">
        <f t="shared" si="0"/>
        <v>1102.8</v>
      </c>
      <c r="L22">
        <f t="shared" si="1"/>
        <v>2433.4199999999992</v>
      </c>
      <c r="M22" s="4">
        <f t="shared" si="2"/>
        <v>22.065832426550593</v>
      </c>
    </row>
    <row r="23" spans="1:13" x14ac:dyDescent="0.3">
      <c r="A23" t="s">
        <v>73</v>
      </c>
      <c r="B23" t="s">
        <v>74</v>
      </c>
      <c r="C23" t="s">
        <v>20</v>
      </c>
      <c r="D23" t="s">
        <v>16</v>
      </c>
      <c r="E23" t="s">
        <v>40</v>
      </c>
      <c r="F23">
        <v>3134</v>
      </c>
      <c r="G23">
        <v>2294.46</v>
      </c>
      <c r="H23">
        <v>3</v>
      </c>
      <c r="I23" s="3">
        <v>0.12</v>
      </c>
      <c r="J23">
        <f t="shared" si="3"/>
        <v>9402</v>
      </c>
      <c r="K23">
        <f t="shared" si="0"/>
        <v>1128.24</v>
      </c>
      <c r="L23">
        <f t="shared" si="1"/>
        <v>1390.3799999999999</v>
      </c>
      <c r="M23" s="4">
        <f t="shared" si="2"/>
        <v>14.788130185067006</v>
      </c>
    </row>
    <row r="24" spans="1:13" x14ac:dyDescent="0.3">
      <c r="A24" t="s">
        <v>75</v>
      </c>
      <c r="B24" t="s">
        <v>76</v>
      </c>
      <c r="C24" t="s">
        <v>15</v>
      </c>
      <c r="D24" t="s">
        <v>16</v>
      </c>
      <c r="E24" t="s">
        <v>40</v>
      </c>
      <c r="F24">
        <v>2630</v>
      </c>
      <c r="G24">
        <v>1839.66</v>
      </c>
      <c r="H24">
        <v>6</v>
      </c>
      <c r="I24" s="3">
        <v>0.14000000000000001</v>
      </c>
      <c r="J24">
        <f t="shared" si="3"/>
        <v>15780</v>
      </c>
      <c r="K24">
        <f t="shared" si="0"/>
        <v>2209.2000000000003</v>
      </c>
      <c r="L24">
        <f t="shared" si="1"/>
        <v>2532.8399999999988</v>
      </c>
      <c r="M24" s="4">
        <f t="shared" si="2"/>
        <v>16.050950570342199</v>
      </c>
    </row>
    <row r="25" spans="1:13" x14ac:dyDescent="0.3">
      <c r="A25" t="s">
        <v>77</v>
      </c>
      <c r="B25" t="s">
        <v>78</v>
      </c>
      <c r="C25" t="s">
        <v>20</v>
      </c>
      <c r="D25" t="s">
        <v>21</v>
      </c>
      <c r="E25" t="s">
        <v>22</v>
      </c>
      <c r="F25">
        <v>1836</v>
      </c>
      <c r="G25">
        <v>1028.5899999999999</v>
      </c>
      <c r="H25">
        <v>9</v>
      </c>
      <c r="I25" s="3">
        <v>0.15</v>
      </c>
      <c r="J25">
        <f t="shared" si="3"/>
        <v>16524</v>
      </c>
      <c r="K25">
        <f t="shared" si="0"/>
        <v>2478.6</v>
      </c>
      <c r="L25">
        <f t="shared" si="1"/>
        <v>4788.09</v>
      </c>
      <c r="M25" s="4">
        <f t="shared" si="2"/>
        <v>28.976579520697172</v>
      </c>
    </row>
    <row r="26" spans="1:13" x14ac:dyDescent="0.3">
      <c r="A26" t="s">
        <v>79</v>
      </c>
      <c r="B26" t="s">
        <v>80</v>
      </c>
      <c r="C26" t="s">
        <v>29</v>
      </c>
      <c r="D26" t="s">
        <v>30</v>
      </c>
      <c r="E26" t="s">
        <v>31</v>
      </c>
      <c r="F26">
        <v>1867</v>
      </c>
      <c r="G26">
        <v>1440.32</v>
      </c>
      <c r="H26">
        <v>10</v>
      </c>
      <c r="I26" s="3">
        <v>0.14000000000000001</v>
      </c>
      <c r="J26">
        <f t="shared" si="3"/>
        <v>18670</v>
      </c>
      <c r="K26">
        <f t="shared" si="0"/>
        <v>2613.8000000000002</v>
      </c>
      <c r="L26">
        <f t="shared" si="1"/>
        <v>1653.0000000000009</v>
      </c>
      <c r="M26" s="4">
        <f t="shared" si="2"/>
        <v>8.8537761114086813</v>
      </c>
    </row>
    <row r="27" spans="1:13" x14ac:dyDescent="0.3">
      <c r="A27" t="s">
        <v>81</v>
      </c>
      <c r="B27" t="s">
        <v>70</v>
      </c>
      <c r="C27" t="s">
        <v>15</v>
      </c>
      <c r="D27" t="s">
        <v>16</v>
      </c>
      <c r="E27" t="s">
        <v>17</v>
      </c>
      <c r="F27">
        <v>3764</v>
      </c>
      <c r="G27">
        <v>2700.45</v>
      </c>
      <c r="H27">
        <v>5</v>
      </c>
      <c r="I27" s="3">
        <v>0.03</v>
      </c>
      <c r="J27">
        <f t="shared" si="3"/>
        <v>18820</v>
      </c>
      <c r="K27">
        <f t="shared" si="0"/>
        <v>564.6</v>
      </c>
      <c r="L27">
        <f t="shared" si="1"/>
        <v>4753.1499999999996</v>
      </c>
      <c r="M27" s="4">
        <f t="shared" si="2"/>
        <v>25.255844845908605</v>
      </c>
    </row>
    <row r="28" spans="1:13" x14ac:dyDescent="0.3">
      <c r="A28" t="s">
        <v>82</v>
      </c>
      <c r="B28" t="s">
        <v>83</v>
      </c>
      <c r="C28" t="s">
        <v>15</v>
      </c>
      <c r="D28" t="s">
        <v>30</v>
      </c>
      <c r="E28" t="s">
        <v>34</v>
      </c>
      <c r="F28">
        <v>2571</v>
      </c>
      <c r="G28">
        <v>1532.46</v>
      </c>
      <c r="H28">
        <v>7</v>
      </c>
      <c r="I28" s="3">
        <v>0.01</v>
      </c>
      <c r="J28">
        <f t="shared" si="3"/>
        <v>17997</v>
      </c>
      <c r="K28">
        <f t="shared" si="0"/>
        <v>179.97</v>
      </c>
      <c r="L28">
        <f t="shared" si="1"/>
        <v>7089.8099999999986</v>
      </c>
      <c r="M28" s="4">
        <f t="shared" si="2"/>
        <v>39.394399066511077</v>
      </c>
    </row>
    <row r="29" spans="1:13" x14ac:dyDescent="0.3">
      <c r="A29" t="s">
        <v>84</v>
      </c>
      <c r="B29" t="s">
        <v>55</v>
      </c>
      <c r="C29" t="s">
        <v>20</v>
      </c>
      <c r="D29" t="s">
        <v>16</v>
      </c>
      <c r="E29" t="s">
        <v>85</v>
      </c>
      <c r="F29">
        <v>3988</v>
      </c>
      <c r="G29">
        <v>2493.64</v>
      </c>
      <c r="H29">
        <v>7</v>
      </c>
      <c r="I29" s="3">
        <v>0.18</v>
      </c>
      <c r="J29">
        <f t="shared" si="3"/>
        <v>27916</v>
      </c>
      <c r="K29">
        <f t="shared" si="0"/>
        <v>5024.88</v>
      </c>
      <c r="L29">
        <f t="shared" si="1"/>
        <v>5435.64</v>
      </c>
      <c r="M29" s="4">
        <f t="shared" si="2"/>
        <v>19.471414242728187</v>
      </c>
    </row>
    <row r="30" spans="1:13" x14ac:dyDescent="0.3">
      <c r="A30" t="s">
        <v>86</v>
      </c>
      <c r="B30" t="s">
        <v>87</v>
      </c>
      <c r="C30" t="s">
        <v>29</v>
      </c>
      <c r="D30" t="s">
        <v>30</v>
      </c>
      <c r="E30" t="s">
        <v>56</v>
      </c>
      <c r="F30">
        <v>2455</v>
      </c>
      <c r="G30">
        <v>1668.38</v>
      </c>
      <c r="H30">
        <v>7</v>
      </c>
      <c r="I30" s="3">
        <v>0.1</v>
      </c>
      <c r="J30">
        <f t="shared" si="3"/>
        <v>17185</v>
      </c>
      <c r="K30">
        <f t="shared" si="0"/>
        <v>1718.5</v>
      </c>
      <c r="L30">
        <f t="shared" si="1"/>
        <v>3787.84</v>
      </c>
      <c r="M30" s="4">
        <f t="shared" si="2"/>
        <v>22.04154786150713</v>
      </c>
    </row>
    <row r="31" spans="1:13" x14ac:dyDescent="0.3">
      <c r="A31" t="s">
        <v>88</v>
      </c>
      <c r="B31" t="s">
        <v>89</v>
      </c>
      <c r="C31" t="s">
        <v>20</v>
      </c>
      <c r="D31" t="s">
        <v>30</v>
      </c>
      <c r="E31" t="s">
        <v>59</v>
      </c>
      <c r="F31">
        <v>2157</v>
      </c>
      <c r="G31">
        <v>1832.41</v>
      </c>
      <c r="H31">
        <v>1</v>
      </c>
      <c r="I31" s="3">
        <v>0.17</v>
      </c>
      <c r="J31">
        <f t="shared" si="3"/>
        <v>2157</v>
      </c>
      <c r="K31">
        <f t="shared" si="0"/>
        <v>366.69000000000005</v>
      </c>
      <c r="L31">
        <f t="shared" si="1"/>
        <v>-42.100000000000136</v>
      </c>
      <c r="M31" s="4">
        <f t="shared" si="2"/>
        <v>-1.9517848864163252</v>
      </c>
    </row>
    <row r="32" spans="1:13" x14ac:dyDescent="0.3">
      <c r="A32" t="s">
        <v>90</v>
      </c>
      <c r="B32" t="s">
        <v>91</v>
      </c>
      <c r="C32" t="s">
        <v>25</v>
      </c>
      <c r="D32" t="s">
        <v>16</v>
      </c>
      <c r="E32" t="s">
        <v>26</v>
      </c>
      <c r="F32">
        <v>3818</v>
      </c>
      <c r="G32">
        <v>2108.84</v>
      </c>
      <c r="H32">
        <v>5</v>
      </c>
      <c r="I32" s="3">
        <v>0.3</v>
      </c>
      <c r="J32">
        <f t="shared" si="3"/>
        <v>19090</v>
      </c>
      <c r="K32">
        <f t="shared" si="0"/>
        <v>5727</v>
      </c>
      <c r="L32">
        <f t="shared" si="1"/>
        <v>2818.7999999999993</v>
      </c>
      <c r="M32" s="4">
        <f t="shared" si="2"/>
        <v>14.765845992666312</v>
      </c>
    </row>
    <row r="33" spans="1:13" x14ac:dyDescent="0.3">
      <c r="A33" t="s">
        <v>92</v>
      </c>
      <c r="B33" t="s">
        <v>93</v>
      </c>
      <c r="C33" t="s">
        <v>15</v>
      </c>
      <c r="D33" t="s">
        <v>21</v>
      </c>
      <c r="E33" t="s">
        <v>37</v>
      </c>
      <c r="F33">
        <v>2100</v>
      </c>
      <c r="G33">
        <v>1564.04</v>
      </c>
      <c r="H33">
        <v>3</v>
      </c>
      <c r="I33" s="3">
        <v>0.23</v>
      </c>
      <c r="J33">
        <f t="shared" si="3"/>
        <v>6300</v>
      </c>
      <c r="K33">
        <f t="shared" si="0"/>
        <v>1449</v>
      </c>
      <c r="L33">
        <f t="shared" si="1"/>
        <v>158.88000000000011</v>
      </c>
      <c r="M33" s="4">
        <f t="shared" si="2"/>
        <v>2.5219047619047639</v>
      </c>
    </row>
    <row r="34" spans="1:13" x14ac:dyDescent="0.3">
      <c r="A34" t="s">
        <v>94</v>
      </c>
      <c r="B34" t="s">
        <v>95</v>
      </c>
      <c r="C34" t="s">
        <v>29</v>
      </c>
      <c r="D34" t="s">
        <v>21</v>
      </c>
      <c r="E34" t="s">
        <v>37</v>
      </c>
      <c r="F34">
        <v>1045</v>
      </c>
      <c r="G34">
        <v>874.94</v>
      </c>
      <c r="H34">
        <v>4</v>
      </c>
      <c r="I34" s="3">
        <v>0.19</v>
      </c>
      <c r="J34">
        <f t="shared" si="3"/>
        <v>4180</v>
      </c>
      <c r="K34">
        <f t="shared" si="0"/>
        <v>794.2</v>
      </c>
      <c r="L34">
        <f t="shared" si="1"/>
        <v>-113.96000000000026</v>
      </c>
      <c r="M34" s="4">
        <f t="shared" si="2"/>
        <v>-2.7263157894736905</v>
      </c>
    </row>
    <row r="35" spans="1:13" x14ac:dyDescent="0.3">
      <c r="A35" t="s">
        <v>96</v>
      </c>
      <c r="B35" t="s">
        <v>97</v>
      </c>
      <c r="C35" t="s">
        <v>15</v>
      </c>
      <c r="D35" t="s">
        <v>16</v>
      </c>
      <c r="E35" t="s">
        <v>85</v>
      </c>
      <c r="F35">
        <v>2822</v>
      </c>
      <c r="G35">
        <v>1795.83</v>
      </c>
      <c r="H35">
        <v>8</v>
      </c>
      <c r="I35" s="3">
        <v>0.2</v>
      </c>
      <c r="J35">
        <f t="shared" si="3"/>
        <v>22576</v>
      </c>
      <c r="K35">
        <f t="shared" si="0"/>
        <v>4515.2</v>
      </c>
      <c r="L35">
        <f t="shared" si="1"/>
        <v>3694.1600000000008</v>
      </c>
      <c r="M35" s="4">
        <f t="shared" si="2"/>
        <v>16.363217576187104</v>
      </c>
    </row>
    <row r="36" spans="1:13" x14ac:dyDescent="0.3">
      <c r="A36" t="s">
        <v>98</v>
      </c>
      <c r="B36" t="s">
        <v>91</v>
      </c>
      <c r="C36" t="s">
        <v>20</v>
      </c>
      <c r="D36" t="s">
        <v>16</v>
      </c>
      <c r="E36" t="s">
        <v>17</v>
      </c>
      <c r="F36">
        <v>4505</v>
      </c>
      <c r="G36">
        <v>2832.47</v>
      </c>
      <c r="H36">
        <v>1</v>
      </c>
      <c r="I36" s="3">
        <v>0.13</v>
      </c>
      <c r="J36">
        <f t="shared" si="3"/>
        <v>4505</v>
      </c>
      <c r="K36">
        <f t="shared" si="0"/>
        <v>585.65</v>
      </c>
      <c r="L36">
        <f t="shared" si="1"/>
        <v>1086.8800000000001</v>
      </c>
      <c r="M36" s="4">
        <f t="shared" si="2"/>
        <v>24.126082130965596</v>
      </c>
    </row>
    <row r="37" spans="1:13" x14ac:dyDescent="0.3">
      <c r="A37" t="s">
        <v>99</v>
      </c>
      <c r="B37" t="s">
        <v>100</v>
      </c>
      <c r="C37" t="s">
        <v>15</v>
      </c>
      <c r="D37" t="s">
        <v>16</v>
      </c>
      <c r="E37" t="s">
        <v>26</v>
      </c>
      <c r="F37">
        <v>3880</v>
      </c>
      <c r="G37">
        <v>2207.0500000000002</v>
      </c>
      <c r="H37">
        <v>8</v>
      </c>
      <c r="I37" s="3">
        <v>0.18</v>
      </c>
      <c r="J37">
        <f t="shared" si="3"/>
        <v>31040</v>
      </c>
      <c r="K37">
        <f t="shared" si="0"/>
        <v>5587.2</v>
      </c>
      <c r="L37">
        <f t="shared" si="1"/>
        <v>7796.3999999999987</v>
      </c>
      <c r="M37" s="4">
        <f t="shared" si="2"/>
        <v>25.117268041237111</v>
      </c>
    </row>
    <row r="38" spans="1:13" x14ac:dyDescent="0.3">
      <c r="A38" t="s">
        <v>101</v>
      </c>
      <c r="B38" t="s">
        <v>102</v>
      </c>
      <c r="C38" t="s">
        <v>29</v>
      </c>
      <c r="D38" t="s">
        <v>30</v>
      </c>
      <c r="E38" t="s">
        <v>59</v>
      </c>
      <c r="F38">
        <v>2295</v>
      </c>
      <c r="G38">
        <v>1388.66</v>
      </c>
      <c r="H38">
        <v>10</v>
      </c>
      <c r="I38" s="3">
        <v>0.17</v>
      </c>
      <c r="J38">
        <f t="shared" si="3"/>
        <v>22950</v>
      </c>
      <c r="K38">
        <f t="shared" si="0"/>
        <v>3901.5000000000005</v>
      </c>
      <c r="L38">
        <f t="shared" si="1"/>
        <v>5161.8999999999996</v>
      </c>
      <c r="M38" s="4">
        <f t="shared" si="2"/>
        <v>22.491938997821347</v>
      </c>
    </row>
    <row r="39" spans="1:13" x14ac:dyDescent="0.3">
      <c r="A39" t="s">
        <v>103</v>
      </c>
      <c r="B39" t="s">
        <v>104</v>
      </c>
      <c r="C39" t="s">
        <v>20</v>
      </c>
      <c r="D39" t="s">
        <v>30</v>
      </c>
      <c r="E39" t="s">
        <v>56</v>
      </c>
      <c r="F39">
        <v>2099</v>
      </c>
      <c r="G39">
        <v>1461.58</v>
      </c>
      <c r="H39">
        <v>1</v>
      </c>
      <c r="I39" s="3">
        <v>7.0000000000000007E-2</v>
      </c>
      <c r="J39">
        <f t="shared" si="3"/>
        <v>2099</v>
      </c>
      <c r="K39">
        <f t="shared" si="0"/>
        <v>146.93</v>
      </c>
      <c r="L39">
        <f t="shared" si="1"/>
        <v>490.49000000000007</v>
      </c>
      <c r="M39" s="4">
        <f t="shared" si="2"/>
        <v>23.367794187708434</v>
      </c>
    </row>
    <row r="40" spans="1:13" x14ac:dyDescent="0.3">
      <c r="A40" t="s">
        <v>105</v>
      </c>
      <c r="B40" t="s">
        <v>104</v>
      </c>
      <c r="C40" t="s">
        <v>29</v>
      </c>
      <c r="D40" t="s">
        <v>30</v>
      </c>
      <c r="E40" t="s">
        <v>56</v>
      </c>
      <c r="F40">
        <v>3329</v>
      </c>
      <c r="G40">
        <v>1858.18</v>
      </c>
      <c r="H40">
        <v>7</v>
      </c>
      <c r="I40" s="3">
        <v>0.02</v>
      </c>
      <c r="J40">
        <f t="shared" si="3"/>
        <v>23303</v>
      </c>
      <c r="K40">
        <f t="shared" si="0"/>
        <v>466.06</v>
      </c>
      <c r="L40">
        <f t="shared" si="1"/>
        <v>9829.68</v>
      </c>
      <c r="M40" s="4">
        <f t="shared" si="2"/>
        <v>42.182036647641937</v>
      </c>
    </row>
    <row r="41" spans="1:13" x14ac:dyDescent="0.3">
      <c r="A41" t="s">
        <v>106</v>
      </c>
      <c r="B41" t="s">
        <v>107</v>
      </c>
      <c r="C41" t="s">
        <v>15</v>
      </c>
      <c r="D41" t="s">
        <v>21</v>
      </c>
      <c r="E41" t="s">
        <v>47</v>
      </c>
      <c r="F41">
        <v>2108</v>
      </c>
      <c r="G41">
        <v>1429.1</v>
      </c>
      <c r="H41">
        <v>6</v>
      </c>
      <c r="I41" s="3">
        <v>0.02</v>
      </c>
      <c r="J41">
        <f t="shared" si="3"/>
        <v>12648</v>
      </c>
      <c r="K41">
        <f t="shared" si="0"/>
        <v>252.96</v>
      </c>
      <c r="L41">
        <f t="shared" si="1"/>
        <v>3820.4400000000014</v>
      </c>
      <c r="M41" s="4">
        <f t="shared" si="2"/>
        <v>30.205882352941188</v>
      </c>
    </row>
    <row r="42" spans="1:13" x14ac:dyDescent="0.3">
      <c r="A42" t="s">
        <v>108</v>
      </c>
      <c r="B42" t="s">
        <v>24</v>
      </c>
      <c r="C42" t="s">
        <v>25</v>
      </c>
      <c r="D42" t="s">
        <v>16</v>
      </c>
      <c r="E42" t="s">
        <v>85</v>
      </c>
      <c r="F42">
        <v>4359</v>
      </c>
      <c r="G42">
        <v>3320.4</v>
      </c>
      <c r="H42">
        <v>5</v>
      </c>
      <c r="I42" s="3">
        <v>0.23</v>
      </c>
      <c r="J42">
        <f t="shared" si="3"/>
        <v>21795</v>
      </c>
      <c r="K42">
        <f t="shared" si="0"/>
        <v>5012.8500000000004</v>
      </c>
      <c r="L42">
        <f t="shared" si="1"/>
        <v>180.14999999999964</v>
      </c>
      <c r="M42" s="4">
        <f t="shared" si="2"/>
        <v>0.8265657260839625</v>
      </c>
    </row>
    <row r="43" spans="1:13" x14ac:dyDescent="0.3">
      <c r="A43" t="s">
        <v>109</v>
      </c>
      <c r="B43" t="s">
        <v>110</v>
      </c>
      <c r="C43" t="s">
        <v>25</v>
      </c>
      <c r="D43" t="s">
        <v>16</v>
      </c>
      <c r="E43" t="s">
        <v>26</v>
      </c>
      <c r="F43">
        <v>2663</v>
      </c>
      <c r="G43">
        <v>1874.17</v>
      </c>
      <c r="H43">
        <v>3</v>
      </c>
      <c r="I43" s="3">
        <v>0.39</v>
      </c>
      <c r="J43">
        <f t="shared" si="3"/>
        <v>7989</v>
      </c>
      <c r="K43">
        <f t="shared" si="0"/>
        <v>3115.71</v>
      </c>
      <c r="L43">
        <f t="shared" si="1"/>
        <v>-749.22000000000025</v>
      </c>
      <c r="M43" s="4">
        <f t="shared" si="2"/>
        <v>-9.3781449493052982</v>
      </c>
    </row>
    <row r="44" spans="1:13" x14ac:dyDescent="0.3">
      <c r="A44" t="s">
        <v>111</v>
      </c>
      <c r="B44" t="s">
        <v>112</v>
      </c>
      <c r="C44" t="s">
        <v>25</v>
      </c>
      <c r="D44" t="s">
        <v>21</v>
      </c>
      <c r="E44" t="s">
        <v>37</v>
      </c>
      <c r="F44">
        <v>2077</v>
      </c>
      <c r="G44">
        <v>1298.21</v>
      </c>
      <c r="H44">
        <v>6</v>
      </c>
      <c r="I44" s="3">
        <v>0.2</v>
      </c>
      <c r="J44">
        <f t="shared" si="3"/>
        <v>12462</v>
      </c>
      <c r="K44">
        <f t="shared" si="0"/>
        <v>2492.4</v>
      </c>
      <c r="L44">
        <f t="shared" si="1"/>
        <v>2180.3399999999997</v>
      </c>
      <c r="M44" s="4">
        <f t="shared" si="2"/>
        <v>17.495907558979297</v>
      </c>
    </row>
    <row r="45" spans="1:13" x14ac:dyDescent="0.3">
      <c r="A45" t="s">
        <v>113</v>
      </c>
      <c r="B45" t="s">
        <v>114</v>
      </c>
      <c r="C45" t="s">
        <v>15</v>
      </c>
      <c r="D45" t="s">
        <v>30</v>
      </c>
      <c r="E45" t="s">
        <v>56</v>
      </c>
      <c r="F45">
        <v>1533</v>
      </c>
      <c r="G45">
        <v>1196.2</v>
      </c>
      <c r="H45">
        <v>6</v>
      </c>
      <c r="I45" s="3">
        <v>0.22</v>
      </c>
      <c r="J45">
        <f t="shared" si="3"/>
        <v>9198</v>
      </c>
      <c r="K45">
        <f t="shared" si="0"/>
        <v>2023.56</v>
      </c>
      <c r="L45">
        <f t="shared" si="1"/>
        <v>-2.760000000000673</v>
      </c>
      <c r="M45" s="4">
        <f t="shared" si="2"/>
        <v>-3.0006523157215404E-2</v>
      </c>
    </row>
    <row r="46" spans="1:13" x14ac:dyDescent="0.3">
      <c r="A46" t="s">
        <v>115</v>
      </c>
      <c r="B46" t="s">
        <v>116</v>
      </c>
      <c r="C46" t="s">
        <v>29</v>
      </c>
      <c r="D46" t="s">
        <v>21</v>
      </c>
      <c r="E46" t="s">
        <v>47</v>
      </c>
      <c r="F46">
        <v>1106</v>
      </c>
      <c r="G46">
        <v>804.72</v>
      </c>
      <c r="H46">
        <v>9</v>
      </c>
      <c r="I46" s="3">
        <v>0.14000000000000001</v>
      </c>
      <c r="J46">
        <f t="shared" si="3"/>
        <v>9954</v>
      </c>
      <c r="K46">
        <f t="shared" si="0"/>
        <v>1393.5600000000002</v>
      </c>
      <c r="L46">
        <f t="shared" si="1"/>
        <v>1317.9599999999994</v>
      </c>
      <c r="M46" s="4">
        <f t="shared" si="2"/>
        <v>13.240506329113918</v>
      </c>
    </row>
    <row r="47" spans="1:13" x14ac:dyDescent="0.3">
      <c r="A47" t="s">
        <v>117</v>
      </c>
      <c r="B47" t="s">
        <v>118</v>
      </c>
      <c r="C47" t="s">
        <v>20</v>
      </c>
      <c r="D47" t="s">
        <v>21</v>
      </c>
      <c r="E47" t="s">
        <v>37</v>
      </c>
      <c r="F47">
        <v>2378</v>
      </c>
      <c r="G47">
        <v>1452.76</v>
      </c>
      <c r="H47">
        <v>9</v>
      </c>
      <c r="I47" s="3">
        <v>0.03</v>
      </c>
      <c r="J47">
        <f t="shared" si="3"/>
        <v>21402</v>
      </c>
      <c r="K47">
        <f t="shared" si="0"/>
        <v>642.05999999999995</v>
      </c>
      <c r="L47">
        <f t="shared" si="1"/>
        <v>7685.1</v>
      </c>
      <c r="M47" s="4">
        <f t="shared" si="2"/>
        <v>35.908326324642559</v>
      </c>
    </row>
    <row r="48" spans="1:13" x14ac:dyDescent="0.3">
      <c r="A48" t="s">
        <v>119</v>
      </c>
      <c r="B48" t="s">
        <v>120</v>
      </c>
      <c r="C48" t="s">
        <v>29</v>
      </c>
      <c r="D48" t="s">
        <v>21</v>
      </c>
      <c r="E48" t="s">
        <v>22</v>
      </c>
      <c r="F48">
        <v>2484</v>
      </c>
      <c r="G48">
        <v>1613.82</v>
      </c>
      <c r="H48">
        <v>2</v>
      </c>
      <c r="I48" s="3">
        <v>7.0000000000000007E-2</v>
      </c>
      <c r="J48">
        <f t="shared" si="3"/>
        <v>4968</v>
      </c>
      <c r="K48">
        <f t="shared" si="0"/>
        <v>347.76000000000005</v>
      </c>
      <c r="L48">
        <f t="shared" si="1"/>
        <v>1392.6000000000001</v>
      </c>
      <c r="M48" s="4">
        <f t="shared" si="2"/>
        <v>28.031400966183579</v>
      </c>
    </row>
    <row r="49" spans="1:13" x14ac:dyDescent="0.3">
      <c r="A49" t="s">
        <v>121</v>
      </c>
      <c r="B49" t="s">
        <v>122</v>
      </c>
      <c r="C49" t="s">
        <v>25</v>
      </c>
      <c r="D49" t="s">
        <v>30</v>
      </c>
      <c r="E49" t="s">
        <v>31</v>
      </c>
      <c r="F49">
        <v>2510</v>
      </c>
      <c r="G49">
        <v>1579.75</v>
      </c>
      <c r="H49">
        <v>4</v>
      </c>
      <c r="I49" s="3">
        <v>0.21</v>
      </c>
      <c r="J49">
        <f t="shared" si="3"/>
        <v>10040</v>
      </c>
      <c r="K49">
        <f t="shared" si="0"/>
        <v>2108.4</v>
      </c>
      <c r="L49">
        <f t="shared" si="1"/>
        <v>1612.6</v>
      </c>
      <c r="M49" s="4">
        <f t="shared" si="2"/>
        <v>16.061752988047807</v>
      </c>
    </row>
    <row r="50" spans="1:13" x14ac:dyDescent="0.3">
      <c r="A50" t="s">
        <v>123</v>
      </c>
      <c r="B50" t="s">
        <v>58</v>
      </c>
      <c r="C50" t="s">
        <v>15</v>
      </c>
      <c r="D50" t="s">
        <v>21</v>
      </c>
      <c r="E50" t="s">
        <v>62</v>
      </c>
      <c r="F50">
        <v>1901</v>
      </c>
      <c r="G50">
        <v>1546.86</v>
      </c>
      <c r="H50">
        <v>4</v>
      </c>
      <c r="I50" s="3">
        <v>0.24</v>
      </c>
      <c r="J50">
        <f t="shared" si="3"/>
        <v>7604</v>
      </c>
      <c r="K50">
        <f t="shared" si="0"/>
        <v>1824.96</v>
      </c>
      <c r="L50">
        <f t="shared" si="1"/>
        <v>-408.39999999999964</v>
      </c>
      <c r="M50" s="4">
        <f t="shared" si="2"/>
        <v>-5.3708574434508103</v>
      </c>
    </row>
    <row r="51" spans="1:13" x14ac:dyDescent="0.3">
      <c r="A51" t="s">
        <v>124</v>
      </c>
      <c r="B51" t="s">
        <v>125</v>
      </c>
      <c r="C51" t="s">
        <v>15</v>
      </c>
      <c r="D51" t="s">
        <v>30</v>
      </c>
      <c r="E51" t="s">
        <v>59</v>
      </c>
      <c r="F51">
        <v>3683</v>
      </c>
      <c r="G51">
        <v>2638.09</v>
      </c>
      <c r="H51">
        <v>4</v>
      </c>
      <c r="I51" s="3">
        <v>0.03</v>
      </c>
      <c r="J51">
        <f t="shared" si="3"/>
        <v>14732</v>
      </c>
      <c r="K51">
        <f t="shared" si="0"/>
        <v>441.96</v>
      </c>
      <c r="L51">
        <f t="shared" si="1"/>
        <v>3737.6799999999994</v>
      </c>
      <c r="M51" s="4">
        <f t="shared" si="2"/>
        <v>25.371164811295138</v>
      </c>
    </row>
    <row r="52" spans="1:13" x14ac:dyDescent="0.3">
      <c r="A52" t="s">
        <v>126</v>
      </c>
      <c r="B52" t="s">
        <v>127</v>
      </c>
      <c r="C52" t="s">
        <v>15</v>
      </c>
      <c r="D52" t="s">
        <v>21</v>
      </c>
      <c r="E52" t="s">
        <v>37</v>
      </c>
      <c r="F52">
        <v>2094</v>
      </c>
      <c r="G52">
        <v>1546.66</v>
      </c>
      <c r="H52">
        <v>6</v>
      </c>
      <c r="I52" s="3">
        <v>0.06</v>
      </c>
      <c r="J52">
        <f t="shared" si="3"/>
        <v>12564</v>
      </c>
      <c r="K52">
        <f t="shared" si="0"/>
        <v>753.83999999999992</v>
      </c>
      <c r="L52">
        <f t="shared" si="1"/>
        <v>2530.1999999999989</v>
      </c>
      <c r="M52" s="4">
        <f t="shared" si="2"/>
        <v>20.138490926456534</v>
      </c>
    </row>
    <row r="53" spans="1:13" x14ac:dyDescent="0.3">
      <c r="A53" t="s">
        <v>128</v>
      </c>
      <c r="B53" t="s">
        <v>129</v>
      </c>
      <c r="C53" t="s">
        <v>20</v>
      </c>
      <c r="D53" t="s">
        <v>16</v>
      </c>
      <c r="E53" t="s">
        <v>17</v>
      </c>
      <c r="F53">
        <v>5343</v>
      </c>
      <c r="G53">
        <v>3538.65</v>
      </c>
      <c r="H53">
        <v>6</v>
      </c>
      <c r="I53" s="3">
        <v>0.17</v>
      </c>
      <c r="J53">
        <f t="shared" si="3"/>
        <v>32058</v>
      </c>
      <c r="K53">
        <f t="shared" si="0"/>
        <v>5449.8600000000006</v>
      </c>
      <c r="L53">
        <f t="shared" si="1"/>
        <v>5376.239999999998</v>
      </c>
      <c r="M53" s="4">
        <f t="shared" si="2"/>
        <v>16.770353733857377</v>
      </c>
    </row>
    <row r="54" spans="1:13" x14ac:dyDescent="0.3">
      <c r="A54" t="s">
        <v>130</v>
      </c>
      <c r="B54" t="s">
        <v>131</v>
      </c>
      <c r="C54" t="s">
        <v>20</v>
      </c>
      <c r="D54" t="s">
        <v>16</v>
      </c>
      <c r="E54" t="s">
        <v>26</v>
      </c>
      <c r="F54">
        <v>3740</v>
      </c>
      <c r="G54">
        <v>2542.0300000000002</v>
      </c>
      <c r="H54">
        <v>2</v>
      </c>
      <c r="I54" s="3">
        <v>0.09</v>
      </c>
      <c r="J54">
        <f t="shared" si="3"/>
        <v>7480</v>
      </c>
      <c r="K54">
        <f t="shared" si="0"/>
        <v>673.19999999999993</v>
      </c>
      <c r="L54">
        <f t="shared" si="1"/>
        <v>1722.7399999999998</v>
      </c>
      <c r="M54" s="4">
        <f t="shared" si="2"/>
        <v>23.031283422459889</v>
      </c>
    </row>
    <row r="55" spans="1:13" x14ac:dyDescent="0.3">
      <c r="A55" t="s">
        <v>132</v>
      </c>
      <c r="B55" t="s">
        <v>133</v>
      </c>
      <c r="C55" t="s">
        <v>25</v>
      </c>
      <c r="D55" t="s">
        <v>21</v>
      </c>
      <c r="E55" t="s">
        <v>37</v>
      </c>
      <c r="F55">
        <v>2478</v>
      </c>
      <c r="G55">
        <v>2046.48</v>
      </c>
      <c r="H55">
        <v>3</v>
      </c>
      <c r="I55" s="3">
        <v>0.36</v>
      </c>
      <c r="J55">
        <f t="shared" si="3"/>
        <v>7434</v>
      </c>
      <c r="K55">
        <f t="shared" si="0"/>
        <v>2676.24</v>
      </c>
      <c r="L55">
        <f t="shared" si="1"/>
        <v>-1381.6800000000003</v>
      </c>
      <c r="M55" s="4">
        <f t="shared" si="2"/>
        <v>-18.585956416464892</v>
      </c>
    </row>
    <row r="56" spans="1:13" x14ac:dyDescent="0.3">
      <c r="A56" t="s">
        <v>134</v>
      </c>
      <c r="B56" t="s">
        <v>135</v>
      </c>
      <c r="C56" t="s">
        <v>25</v>
      </c>
      <c r="D56" t="s">
        <v>30</v>
      </c>
      <c r="E56" t="s">
        <v>56</v>
      </c>
      <c r="F56">
        <v>2966</v>
      </c>
      <c r="G56">
        <v>2186.0300000000002</v>
      </c>
      <c r="H56">
        <v>7</v>
      </c>
      <c r="I56" s="3">
        <v>0.24</v>
      </c>
      <c r="J56">
        <f t="shared" si="3"/>
        <v>20762</v>
      </c>
      <c r="K56">
        <f t="shared" si="0"/>
        <v>4982.88</v>
      </c>
      <c r="L56">
        <f t="shared" si="1"/>
        <v>476.90999999999894</v>
      </c>
      <c r="M56" s="4">
        <f t="shared" si="2"/>
        <v>2.2970330411328335</v>
      </c>
    </row>
    <row r="57" spans="1:13" x14ac:dyDescent="0.3">
      <c r="A57" t="s">
        <v>136</v>
      </c>
      <c r="B57" t="s">
        <v>51</v>
      </c>
      <c r="C57" t="s">
        <v>15</v>
      </c>
      <c r="D57" t="s">
        <v>16</v>
      </c>
      <c r="E57" t="s">
        <v>26</v>
      </c>
      <c r="F57">
        <v>3879</v>
      </c>
      <c r="G57">
        <v>2909.78</v>
      </c>
      <c r="H57">
        <v>2</v>
      </c>
      <c r="I57" s="3">
        <v>0.11</v>
      </c>
      <c r="J57">
        <f t="shared" si="3"/>
        <v>7758</v>
      </c>
      <c r="K57">
        <f t="shared" si="0"/>
        <v>853.38</v>
      </c>
      <c r="L57">
        <f t="shared" si="1"/>
        <v>1085.0599999999995</v>
      </c>
      <c r="M57" s="4">
        <f t="shared" si="2"/>
        <v>13.986336684712548</v>
      </c>
    </row>
    <row r="58" spans="1:13" x14ac:dyDescent="0.3">
      <c r="A58" t="s">
        <v>137</v>
      </c>
      <c r="B58" t="s">
        <v>138</v>
      </c>
      <c r="C58" t="s">
        <v>29</v>
      </c>
      <c r="D58" t="s">
        <v>30</v>
      </c>
      <c r="E58" t="s">
        <v>31</v>
      </c>
      <c r="F58">
        <v>2824</v>
      </c>
      <c r="G58">
        <v>1904.44</v>
      </c>
      <c r="H58">
        <v>10</v>
      </c>
      <c r="I58" s="3">
        <v>0.01</v>
      </c>
      <c r="J58">
        <f t="shared" si="3"/>
        <v>28240</v>
      </c>
      <c r="K58">
        <f t="shared" si="0"/>
        <v>282.40000000000003</v>
      </c>
      <c r="L58">
        <f t="shared" si="1"/>
        <v>8913.1999999999989</v>
      </c>
      <c r="M58" s="4">
        <f t="shared" si="2"/>
        <v>31.562322946175637</v>
      </c>
    </row>
    <row r="59" spans="1:13" x14ac:dyDescent="0.3">
      <c r="A59" t="s">
        <v>139</v>
      </c>
      <c r="B59" t="s">
        <v>140</v>
      </c>
      <c r="C59" t="s">
        <v>15</v>
      </c>
      <c r="D59" t="s">
        <v>16</v>
      </c>
      <c r="E59" t="s">
        <v>26</v>
      </c>
      <c r="F59">
        <v>4666</v>
      </c>
      <c r="G59">
        <v>3556.07</v>
      </c>
      <c r="H59">
        <v>1</v>
      </c>
      <c r="I59" s="3">
        <v>0.01</v>
      </c>
      <c r="J59">
        <f t="shared" si="3"/>
        <v>4666</v>
      </c>
      <c r="K59">
        <f t="shared" si="0"/>
        <v>46.660000000000004</v>
      </c>
      <c r="L59">
        <f t="shared" si="1"/>
        <v>1063.2699999999998</v>
      </c>
      <c r="M59" s="4">
        <f t="shared" si="2"/>
        <v>22.787612516073718</v>
      </c>
    </row>
    <row r="60" spans="1:13" x14ac:dyDescent="0.3">
      <c r="A60" t="s">
        <v>141</v>
      </c>
      <c r="B60" t="s">
        <v>51</v>
      </c>
      <c r="C60" t="s">
        <v>20</v>
      </c>
      <c r="D60" t="s">
        <v>16</v>
      </c>
      <c r="E60" t="s">
        <v>85</v>
      </c>
      <c r="F60">
        <v>3172</v>
      </c>
      <c r="G60">
        <v>1779.95</v>
      </c>
      <c r="H60">
        <v>2</v>
      </c>
      <c r="I60" s="3">
        <v>0.15</v>
      </c>
      <c r="J60">
        <f t="shared" si="3"/>
        <v>6344</v>
      </c>
      <c r="K60">
        <f t="shared" si="0"/>
        <v>951.59999999999991</v>
      </c>
      <c r="L60">
        <f t="shared" si="1"/>
        <v>1832.5</v>
      </c>
      <c r="M60" s="4">
        <f t="shared" si="2"/>
        <v>28.885561160151322</v>
      </c>
    </row>
    <row r="61" spans="1:13" x14ac:dyDescent="0.3">
      <c r="A61" t="s">
        <v>142</v>
      </c>
      <c r="B61" t="s">
        <v>143</v>
      </c>
      <c r="C61" t="s">
        <v>15</v>
      </c>
      <c r="D61" t="s">
        <v>21</v>
      </c>
      <c r="E61" t="s">
        <v>22</v>
      </c>
      <c r="F61">
        <v>874</v>
      </c>
      <c r="G61">
        <v>626.09</v>
      </c>
      <c r="H61">
        <v>3</v>
      </c>
      <c r="I61" s="3">
        <v>0.06</v>
      </c>
      <c r="J61">
        <f t="shared" si="3"/>
        <v>2622</v>
      </c>
      <c r="K61">
        <f t="shared" si="0"/>
        <v>157.32</v>
      </c>
      <c r="L61">
        <f t="shared" si="1"/>
        <v>586.41000000000008</v>
      </c>
      <c r="M61" s="4">
        <f t="shared" si="2"/>
        <v>22.364988558352405</v>
      </c>
    </row>
    <row r="62" spans="1:13" x14ac:dyDescent="0.3">
      <c r="A62" t="s">
        <v>144</v>
      </c>
      <c r="B62" t="s">
        <v>145</v>
      </c>
      <c r="C62" t="s">
        <v>29</v>
      </c>
      <c r="D62" t="s">
        <v>16</v>
      </c>
      <c r="E62" t="s">
        <v>26</v>
      </c>
      <c r="F62">
        <v>3253</v>
      </c>
      <c r="G62">
        <v>2043.16</v>
      </c>
      <c r="H62">
        <v>4</v>
      </c>
      <c r="I62" s="3">
        <v>0.13</v>
      </c>
      <c r="J62">
        <f t="shared" si="3"/>
        <v>13012</v>
      </c>
      <c r="K62">
        <f t="shared" si="0"/>
        <v>1691.56</v>
      </c>
      <c r="L62">
        <f t="shared" si="1"/>
        <v>3147.7999999999997</v>
      </c>
      <c r="M62" s="4">
        <f t="shared" si="2"/>
        <v>24.191515524131567</v>
      </c>
    </row>
    <row r="63" spans="1:13" x14ac:dyDescent="0.3">
      <c r="A63" t="s">
        <v>146</v>
      </c>
      <c r="B63" t="s">
        <v>147</v>
      </c>
      <c r="C63" t="s">
        <v>29</v>
      </c>
      <c r="D63" t="s">
        <v>16</v>
      </c>
      <c r="E63" t="s">
        <v>85</v>
      </c>
      <c r="F63">
        <v>3220</v>
      </c>
      <c r="G63">
        <v>2506.85</v>
      </c>
      <c r="H63">
        <v>8</v>
      </c>
      <c r="I63" s="3">
        <v>0.24</v>
      </c>
      <c r="J63">
        <f t="shared" si="3"/>
        <v>25760</v>
      </c>
      <c r="K63">
        <f t="shared" si="0"/>
        <v>6182.4</v>
      </c>
      <c r="L63">
        <f t="shared" si="1"/>
        <v>-477.19999999999891</v>
      </c>
      <c r="M63" s="4">
        <f t="shared" si="2"/>
        <v>-1.8524844720496851</v>
      </c>
    </row>
    <row r="64" spans="1:13" x14ac:dyDescent="0.3">
      <c r="A64" t="s">
        <v>148</v>
      </c>
      <c r="B64" t="s">
        <v>149</v>
      </c>
      <c r="C64" t="s">
        <v>15</v>
      </c>
      <c r="D64" t="s">
        <v>30</v>
      </c>
      <c r="E64" t="s">
        <v>34</v>
      </c>
      <c r="F64">
        <v>2992</v>
      </c>
      <c r="G64">
        <v>2056.64</v>
      </c>
      <c r="H64">
        <v>10</v>
      </c>
      <c r="I64" s="3">
        <v>0.22</v>
      </c>
      <c r="J64">
        <f t="shared" si="3"/>
        <v>29920</v>
      </c>
      <c r="K64">
        <f t="shared" si="0"/>
        <v>6582.4</v>
      </c>
      <c r="L64">
        <f t="shared" si="1"/>
        <v>2771.2000000000025</v>
      </c>
      <c r="M64" s="4">
        <f t="shared" si="2"/>
        <v>9.2620320855615059</v>
      </c>
    </row>
    <row r="65" spans="1:13" x14ac:dyDescent="0.3">
      <c r="A65" t="s">
        <v>150</v>
      </c>
      <c r="B65" t="s">
        <v>151</v>
      </c>
      <c r="C65" t="s">
        <v>15</v>
      </c>
      <c r="D65" t="s">
        <v>16</v>
      </c>
      <c r="E65" t="s">
        <v>26</v>
      </c>
      <c r="F65">
        <v>4146</v>
      </c>
      <c r="G65">
        <v>2773.25</v>
      </c>
      <c r="H65">
        <v>8</v>
      </c>
      <c r="I65" s="3">
        <v>0.06</v>
      </c>
      <c r="J65">
        <f t="shared" si="3"/>
        <v>33168</v>
      </c>
      <c r="K65">
        <f t="shared" si="0"/>
        <v>1990.08</v>
      </c>
      <c r="L65">
        <f t="shared" si="1"/>
        <v>8991.92</v>
      </c>
      <c r="M65" s="4">
        <f t="shared" si="2"/>
        <v>27.110226724553787</v>
      </c>
    </row>
    <row r="66" spans="1:13" x14ac:dyDescent="0.3">
      <c r="A66" t="s">
        <v>152</v>
      </c>
      <c r="B66" t="s">
        <v>153</v>
      </c>
      <c r="C66" t="s">
        <v>25</v>
      </c>
      <c r="D66" t="s">
        <v>21</v>
      </c>
      <c r="E66" t="s">
        <v>47</v>
      </c>
      <c r="F66">
        <v>1700</v>
      </c>
      <c r="G66">
        <v>1075.6199999999999</v>
      </c>
      <c r="H66">
        <v>4</v>
      </c>
      <c r="I66" s="3">
        <v>0.4</v>
      </c>
      <c r="J66">
        <f t="shared" ref="J66:J129" si="4">F66*H66</f>
        <v>6800</v>
      </c>
      <c r="K66">
        <f t="shared" ref="K66:K129" si="5">J66*I66</f>
        <v>2720</v>
      </c>
      <c r="L66">
        <f t="shared" ref="L66:L129" si="6">J66-(G66*H66)-K66</f>
        <v>-222.47999999999956</v>
      </c>
      <c r="M66" s="4">
        <f t="shared" ref="M66:M129" si="7">(L66/J66)*100</f>
        <v>-3.2717647058823465</v>
      </c>
    </row>
    <row r="67" spans="1:13" x14ac:dyDescent="0.3">
      <c r="A67" t="s">
        <v>154</v>
      </c>
      <c r="B67" t="s">
        <v>155</v>
      </c>
      <c r="C67" t="s">
        <v>15</v>
      </c>
      <c r="D67" t="s">
        <v>16</v>
      </c>
      <c r="E67" t="s">
        <v>40</v>
      </c>
      <c r="F67">
        <v>5868</v>
      </c>
      <c r="G67">
        <v>4882.59</v>
      </c>
      <c r="H67">
        <v>8</v>
      </c>
      <c r="I67" s="3">
        <v>0.17</v>
      </c>
      <c r="J67">
        <f t="shared" si="4"/>
        <v>46944</v>
      </c>
      <c r="K67">
        <f t="shared" si="5"/>
        <v>7980.4800000000005</v>
      </c>
      <c r="L67">
        <f t="shared" si="6"/>
        <v>-97.200000000001637</v>
      </c>
      <c r="M67" s="4">
        <f t="shared" si="7"/>
        <v>-0.20705521472392988</v>
      </c>
    </row>
    <row r="68" spans="1:13" x14ac:dyDescent="0.3">
      <c r="A68" t="s">
        <v>156</v>
      </c>
      <c r="B68" t="s">
        <v>157</v>
      </c>
      <c r="C68" t="s">
        <v>15</v>
      </c>
      <c r="D68" t="s">
        <v>16</v>
      </c>
      <c r="E68" t="s">
        <v>85</v>
      </c>
      <c r="F68">
        <v>5500</v>
      </c>
      <c r="G68">
        <v>3435.46</v>
      </c>
      <c r="H68">
        <v>3</v>
      </c>
      <c r="I68" s="3">
        <v>0.19</v>
      </c>
      <c r="J68">
        <f t="shared" si="4"/>
        <v>16500</v>
      </c>
      <c r="K68">
        <f t="shared" si="5"/>
        <v>3135</v>
      </c>
      <c r="L68">
        <f t="shared" si="6"/>
        <v>3058.619999999999</v>
      </c>
      <c r="M68" s="4">
        <f t="shared" si="7"/>
        <v>18.537090909090903</v>
      </c>
    </row>
    <row r="69" spans="1:13" x14ac:dyDescent="0.3">
      <c r="A69" t="s">
        <v>158</v>
      </c>
      <c r="B69" t="s">
        <v>159</v>
      </c>
      <c r="C69" t="s">
        <v>15</v>
      </c>
      <c r="D69" t="s">
        <v>16</v>
      </c>
      <c r="E69" t="s">
        <v>85</v>
      </c>
      <c r="F69">
        <v>5006</v>
      </c>
      <c r="G69">
        <v>3061.82</v>
      </c>
      <c r="H69">
        <v>3</v>
      </c>
      <c r="I69" s="3">
        <v>7.0000000000000007E-2</v>
      </c>
      <c r="J69">
        <f t="shared" si="4"/>
        <v>15018</v>
      </c>
      <c r="K69">
        <f t="shared" si="5"/>
        <v>1051.26</v>
      </c>
      <c r="L69">
        <f t="shared" si="6"/>
        <v>4781.2799999999988</v>
      </c>
      <c r="M69" s="4">
        <f t="shared" si="7"/>
        <v>31.836995605273664</v>
      </c>
    </row>
    <row r="70" spans="1:13" x14ac:dyDescent="0.3">
      <c r="A70" t="s">
        <v>160</v>
      </c>
      <c r="B70" t="s">
        <v>161</v>
      </c>
      <c r="C70" t="s">
        <v>25</v>
      </c>
      <c r="D70" t="s">
        <v>16</v>
      </c>
      <c r="E70" t="s">
        <v>85</v>
      </c>
      <c r="F70">
        <v>4037</v>
      </c>
      <c r="G70">
        <v>2435.27</v>
      </c>
      <c r="H70">
        <v>6</v>
      </c>
      <c r="I70" s="3">
        <v>0.31</v>
      </c>
      <c r="J70">
        <f t="shared" si="4"/>
        <v>24222</v>
      </c>
      <c r="K70">
        <f t="shared" si="5"/>
        <v>7508.82</v>
      </c>
      <c r="L70">
        <f t="shared" si="6"/>
        <v>2101.5600000000013</v>
      </c>
      <c r="M70" s="4">
        <f t="shared" si="7"/>
        <v>8.6762447361902453</v>
      </c>
    </row>
    <row r="71" spans="1:13" x14ac:dyDescent="0.3">
      <c r="A71" t="s">
        <v>162</v>
      </c>
      <c r="B71" t="s">
        <v>163</v>
      </c>
      <c r="C71" t="s">
        <v>20</v>
      </c>
      <c r="D71" t="s">
        <v>16</v>
      </c>
      <c r="E71" t="s">
        <v>85</v>
      </c>
      <c r="F71">
        <v>4211</v>
      </c>
      <c r="G71">
        <v>2450.2199999999998</v>
      </c>
      <c r="H71">
        <v>6</v>
      </c>
      <c r="I71" s="3">
        <v>0.15</v>
      </c>
      <c r="J71">
        <f t="shared" si="4"/>
        <v>25266</v>
      </c>
      <c r="K71">
        <f t="shared" si="5"/>
        <v>3789.8999999999996</v>
      </c>
      <c r="L71">
        <f t="shared" si="6"/>
        <v>6774.7800000000007</v>
      </c>
      <c r="M71" s="4">
        <f t="shared" si="7"/>
        <v>26.813820945143675</v>
      </c>
    </row>
    <row r="72" spans="1:13" x14ac:dyDescent="0.3">
      <c r="A72" t="s">
        <v>164</v>
      </c>
      <c r="B72" t="s">
        <v>165</v>
      </c>
      <c r="C72" t="s">
        <v>15</v>
      </c>
      <c r="D72" t="s">
        <v>21</v>
      </c>
      <c r="E72" t="s">
        <v>37</v>
      </c>
      <c r="F72">
        <v>1475</v>
      </c>
      <c r="G72">
        <v>1203.33</v>
      </c>
      <c r="H72">
        <v>8</v>
      </c>
      <c r="I72" s="3">
        <v>0.16</v>
      </c>
      <c r="J72">
        <f t="shared" si="4"/>
        <v>11800</v>
      </c>
      <c r="K72">
        <f t="shared" si="5"/>
        <v>1888</v>
      </c>
      <c r="L72">
        <f t="shared" si="6"/>
        <v>285.36000000000058</v>
      </c>
      <c r="M72" s="4">
        <f t="shared" si="7"/>
        <v>2.4183050847457679</v>
      </c>
    </row>
    <row r="73" spans="1:13" x14ac:dyDescent="0.3">
      <c r="A73" t="s">
        <v>166</v>
      </c>
      <c r="B73" t="s">
        <v>167</v>
      </c>
      <c r="C73" t="s">
        <v>25</v>
      </c>
      <c r="D73" t="s">
        <v>30</v>
      </c>
      <c r="E73" t="s">
        <v>31</v>
      </c>
      <c r="F73">
        <v>3064</v>
      </c>
      <c r="G73">
        <v>2206.7800000000002</v>
      </c>
      <c r="H73">
        <v>3</v>
      </c>
      <c r="I73" s="3">
        <v>0.35</v>
      </c>
      <c r="J73">
        <f t="shared" si="4"/>
        <v>9192</v>
      </c>
      <c r="K73">
        <f t="shared" si="5"/>
        <v>3217.2</v>
      </c>
      <c r="L73">
        <f t="shared" si="6"/>
        <v>-645.54</v>
      </c>
      <c r="M73" s="4">
        <f t="shared" si="7"/>
        <v>-7.0228459530026104</v>
      </c>
    </row>
    <row r="74" spans="1:13" x14ac:dyDescent="0.3">
      <c r="A74" t="s">
        <v>168</v>
      </c>
      <c r="B74" t="s">
        <v>169</v>
      </c>
      <c r="C74" t="s">
        <v>29</v>
      </c>
      <c r="D74" t="s">
        <v>21</v>
      </c>
      <c r="E74" t="s">
        <v>62</v>
      </c>
      <c r="F74">
        <v>1665</v>
      </c>
      <c r="G74">
        <v>1284.6300000000001</v>
      </c>
      <c r="H74">
        <v>7</v>
      </c>
      <c r="I74" s="3">
        <v>0.23</v>
      </c>
      <c r="J74">
        <f t="shared" si="4"/>
        <v>11655</v>
      </c>
      <c r="K74">
        <f t="shared" si="5"/>
        <v>2680.65</v>
      </c>
      <c r="L74">
        <f t="shared" si="6"/>
        <v>-18.059999999999945</v>
      </c>
      <c r="M74" s="4">
        <f t="shared" si="7"/>
        <v>-0.15495495495495448</v>
      </c>
    </row>
    <row r="75" spans="1:13" x14ac:dyDescent="0.3">
      <c r="A75" t="s">
        <v>170</v>
      </c>
      <c r="B75" t="s">
        <v>171</v>
      </c>
      <c r="C75" t="s">
        <v>25</v>
      </c>
      <c r="D75" t="s">
        <v>30</v>
      </c>
      <c r="E75" t="s">
        <v>34</v>
      </c>
      <c r="F75">
        <v>2297</v>
      </c>
      <c r="G75">
        <v>1462.11</v>
      </c>
      <c r="H75">
        <v>4</v>
      </c>
      <c r="I75" s="3">
        <v>0.28000000000000003</v>
      </c>
      <c r="J75">
        <f t="shared" si="4"/>
        <v>9188</v>
      </c>
      <c r="K75">
        <f t="shared" si="5"/>
        <v>2572.6400000000003</v>
      </c>
      <c r="L75">
        <f t="shared" si="6"/>
        <v>766.92000000000007</v>
      </c>
      <c r="M75" s="4">
        <f t="shared" si="7"/>
        <v>8.3469743143230311</v>
      </c>
    </row>
    <row r="76" spans="1:13" x14ac:dyDescent="0.3">
      <c r="A76" t="s">
        <v>172</v>
      </c>
      <c r="B76" t="s">
        <v>173</v>
      </c>
      <c r="C76" t="s">
        <v>15</v>
      </c>
      <c r="D76" t="s">
        <v>30</v>
      </c>
      <c r="E76" t="s">
        <v>59</v>
      </c>
      <c r="F76">
        <v>3442</v>
      </c>
      <c r="G76">
        <v>2896.33</v>
      </c>
      <c r="H76">
        <v>10</v>
      </c>
      <c r="I76" s="3">
        <v>0.1</v>
      </c>
      <c r="J76">
        <f t="shared" si="4"/>
        <v>34420</v>
      </c>
      <c r="K76">
        <f t="shared" si="5"/>
        <v>3442</v>
      </c>
      <c r="L76">
        <f t="shared" si="6"/>
        <v>2014.7000000000007</v>
      </c>
      <c r="M76" s="4">
        <f t="shared" si="7"/>
        <v>5.8532829750145288</v>
      </c>
    </row>
    <row r="77" spans="1:13" x14ac:dyDescent="0.3">
      <c r="A77" t="s">
        <v>174</v>
      </c>
      <c r="B77" t="s">
        <v>175</v>
      </c>
      <c r="C77" t="s">
        <v>15</v>
      </c>
      <c r="D77" t="s">
        <v>30</v>
      </c>
      <c r="E77" t="s">
        <v>56</v>
      </c>
      <c r="F77">
        <v>2598</v>
      </c>
      <c r="G77">
        <v>1475.92</v>
      </c>
      <c r="H77">
        <v>2</v>
      </c>
      <c r="I77" s="3">
        <v>0.08</v>
      </c>
      <c r="J77">
        <f t="shared" si="4"/>
        <v>5196</v>
      </c>
      <c r="K77">
        <f t="shared" si="5"/>
        <v>415.68</v>
      </c>
      <c r="L77">
        <f t="shared" si="6"/>
        <v>1828.4799999999998</v>
      </c>
      <c r="M77" s="4">
        <f t="shared" si="7"/>
        <v>35.190146266358738</v>
      </c>
    </row>
    <row r="78" spans="1:13" x14ac:dyDescent="0.3">
      <c r="A78" t="s">
        <v>176</v>
      </c>
      <c r="B78" t="s">
        <v>177</v>
      </c>
      <c r="C78" t="s">
        <v>25</v>
      </c>
      <c r="D78" t="s">
        <v>30</v>
      </c>
      <c r="E78" t="s">
        <v>34</v>
      </c>
      <c r="F78">
        <v>2831</v>
      </c>
      <c r="G78">
        <v>1847.99</v>
      </c>
      <c r="H78">
        <v>6</v>
      </c>
      <c r="I78" s="3">
        <v>0.33</v>
      </c>
      <c r="J78">
        <f t="shared" si="4"/>
        <v>16986</v>
      </c>
      <c r="K78">
        <f t="shared" si="5"/>
        <v>5605.38</v>
      </c>
      <c r="L78">
        <f t="shared" si="6"/>
        <v>292.67999999999938</v>
      </c>
      <c r="M78" s="4">
        <f t="shared" si="7"/>
        <v>1.7230660543977359</v>
      </c>
    </row>
    <row r="79" spans="1:13" x14ac:dyDescent="0.3">
      <c r="A79" t="s">
        <v>178</v>
      </c>
      <c r="B79" t="s">
        <v>179</v>
      </c>
      <c r="C79" t="s">
        <v>25</v>
      </c>
      <c r="D79" t="s">
        <v>30</v>
      </c>
      <c r="E79" t="s">
        <v>31</v>
      </c>
      <c r="F79">
        <v>2475</v>
      </c>
      <c r="G79">
        <v>1502.76</v>
      </c>
      <c r="H79">
        <v>2</v>
      </c>
      <c r="I79" s="3">
        <v>0.36</v>
      </c>
      <c r="J79">
        <f t="shared" si="4"/>
        <v>4950</v>
      </c>
      <c r="K79">
        <f t="shared" si="5"/>
        <v>1782</v>
      </c>
      <c r="L79">
        <f t="shared" si="6"/>
        <v>162.48000000000002</v>
      </c>
      <c r="M79" s="4">
        <f t="shared" si="7"/>
        <v>3.2824242424242431</v>
      </c>
    </row>
    <row r="80" spans="1:13" x14ac:dyDescent="0.3">
      <c r="A80" t="s">
        <v>180</v>
      </c>
      <c r="B80" t="s">
        <v>181</v>
      </c>
      <c r="C80" t="s">
        <v>29</v>
      </c>
      <c r="D80" t="s">
        <v>21</v>
      </c>
      <c r="E80" t="s">
        <v>37</v>
      </c>
      <c r="F80">
        <v>2467</v>
      </c>
      <c r="G80">
        <v>2042.51</v>
      </c>
      <c r="H80">
        <v>5</v>
      </c>
      <c r="I80" s="3">
        <v>0.02</v>
      </c>
      <c r="J80">
        <f t="shared" si="4"/>
        <v>12335</v>
      </c>
      <c r="K80">
        <f t="shared" si="5"/>
        <v>246.70000000000002</v>
      </c>
      <c r="L80">
        <f t="shared" si="6"/>
        <v>1875.7500000000007</v>
      </c>
      <c r="M80" s="4">
        <f t="shared" si="7"/>
        <v>15.206728820429676</v>
      </c>
    </row>
    <row r="81" spans="1:13" x14ac:dyDescent="0.3">
      <c r="A81" t="s">
        <v>182</v>
      </c>
      <c r="B81" t="s">
        <v>183</v>
      </c>
      <c r="C81" t="s">
        <v>25</v>
      </c>
      <c r="D81" t="s">
        <v>16</v>
      </c>
      <c r="E81" t="s">
        <v>26</v>
      </c>
      <c r="F81">
        <v>3568</v>
      </c>
      <c r="G81">
        <v>2774.95</v>
      </c>
      <c r="H81">
        <v>9</v>
      </c>
      <c r="I81" s="3">
        <v>0.33</v>
      </c>
      <c r="J81">
        <f t="shared" si="4"/>
        <v>32112</v>
      </c>
      <c r="K81">
        <f t="shared" si="5"/>
        <v>10596.960000000001</v>
      </c>
      <c r="L81">
        <f t="shared" si="6"/>
        <v>-3459.51</v>
      </c>
      <c r="M81" s="4">
        <f t="shared" si="7"/>
        <v>-10.773262331838565</v>
      </c>
    </row>
    <row r="82" spans="1:13" x14ac:dyDescent="0.3">
      <c r="A82" t="s">
        <v>184</v>
      </c>
      <c r="B82" t="s">
        <v>185</v>
      </c>
      <c r="C82" t="s">
        <v>25</v>
      </c>
      <c r="D82" t="s">
        <v>21</v>
      </c>
      <c r="E82" t="s">
        <v>62</v>
      </c>
      <c r="F82">
        <v>1602</v>
      </c>
      <c r="G82">
        <v>1187.3499999999999</v>
      </c>
      <c r="H82">
        <v>6</v>
      </c>
      <c r="I82" s="3">
        <v>0.26</v>
      </c>
      <c r="J82">
        <f t="shared" si="4"/>
        <v>9612</v>
      </c>
      <c r="K82">
        <f t="shared" si="5"/>
        <v>2499.12</v>
      </c>
      <c r="L82">
        <f t="shared" si="6"/>
        <v>-11.219999999999345</v>
      </c>
      <c r="M82" s="4">
        <f t="shared" si="7"/>
        <v>-0.11672908863919419</v>
      </c>
    </row>
    <row r="83" spans="1:13" x14ac:dyDescent="0.3">
      <c r="A83" t="s">
        <v>186</v>
      </c>
      <c r="B83" t="s">
        <v>76</v>
      </c>
      <c r="C83" t="s">
        <v>20</v>
      </c>
      <c r="D83" t="s">
        <v>16</v>
      </c>
      <c r="E83" t="s">
        <v>40</v>
      </c>
      <c r="F83">
        <v>3879</v>
      </c>
      <c r="G83">
        <v>2890.67</v>
      </c>
      <c r="H83">
        <v>3</v>
      </c>
      <c r="I83" s="3">
        <v>0.17</v>
      </c>
      <c r="J83">
        <f t="shared" si="4"/>
        <v>11637</v>
      </c>
      <c r="K83">
        <f t="shared" si="5"/>
        <v>1978.2900000000002</v>
      </c>
      <c r="L83">
        <f t="shared" si="6"/>
        <v>986.69999999999959</v>
      </c>
      <c r="M83" s="4">
        <f t="shared" si="7"/>
        <v>8.4789894302655302</v>
      </c>
    </row>
    <row r="84" spans="1:13" x14ac:dyDescent="0.3">
      <c r="A84" t="s">
        <v>187</v>
      </c>
      <c r="B84" t="s">
        <v>188</v>
      </c>
      <c r="C84" t="s">
        <v>20</v>
      </c>
      <c r="D84" t="s">
        <v>16</v>
      </c>
      <c r="E84" t="s">
        <v>85</v>
      </c>
      <c r="F84">
        <v>2828</v>
      </c>
      <c r="G84">
        <v>2034.07</v>
      </c>
      <c r="H84">
        <v>10</v>
      </c>
      <c r="I84" s="3">
        <v>0.08</v>
      </c>
      <c r="J84">
        <f t="shared" si="4"/>
        <v>28280</v>
      </c>
      <c r="K84">
        <f t="shared" si="5"/>
        <v>2262.4</v>
      </c>
      <c r="L84">
        <f t="shared" si="6"/>
        <v>5676.9</v>
      </c>
      <c r="M84" s="4">
        <f t="shared" si="7"/>
        <v>20.073903818953323</v>
      </c>
    </row>
    <row r="85" spans="1:13" x14ac:dyDescent="0.3">
      <c r="A85" t="s">
        <v>189</v>
      </c>
      <c r="B85" t="s">
        <v>190</v>
      </c>
      <c r="C85" t="s">
        <v>29</v>
      </c>
      <c r="D85" t="s">
        <v>21</v>
      </c>
      <c r="E85" t="s">
        <v>37</v>
      </c>
      <c r="F85">
        <v>749</v>
      </c>
      <c r="G85">
        <v>443.4</v>
      </c>
      <c r="H85">
        <v>5</v>
      </c>
      <c r="I85" s="3">
        <v>0.09</v>
      </c>
      <c r="J85">
        <f t="shared" si="4"/>
        <v>3745</v>
      </c>
      <c r="K85">
        <f t="shared" si="5"/>
        <v>337.05</v>
      </c>
      <c r="L85">
        <f t="shared" si="6"/>
        <v>1190.95</v>
      </c>
      <c r="M85" s="4">
        <f t="shared" si="7"/>
        <v>31.801068090787719</v>
      </c>
    </row>
    <row r="86" spans="1:13" x14ac:dyDescent="0.3">
      <c r="A86" t="s">
        <v>191</v>
      </c>
      <c r="B86" t="s">
        <v>192</v>
      </c>
      <c r="C86" t="s">
        <v>25</v>
      </c>
      <c r="D86" t="s">
        <v>30</v>
      </c>
      <c r="E86" t="s">
        <v>56</v>
      </c>
      <c r="F86">
        <v>3350</v>
      </c>
      <c r="G86">
        <v>2321.2800000000002</v>
      </c>
      <c r="H86">
        <v>5</v>
      </c>
      <c r="I86" s="3">
        <v>0.25</v>
      </c>
      <c r="J86">
        <f t="shared" si="4"/>
        <v>16750</v>
      </c>
      <c r="K86">
        <f t="shared" si="5"/>
        <v>4187.5</v>
      </c>
      <c r="L86">
        <f t="shared" si="6"/>
        <v>956.09999999999854</v>
      </c>
      <c r="M86" s="4">
        <f t="shared" si="7"/>
        <v>5.7080597014925285</v>
      </c>
    </row>
    <row r="87" spans="1:13" x14ac:dyDescent="0.3">
      <c r="A87" t="s">
        <v>193</v>
      </c>
      <c r="B87" t="s">
        <v>194</v>
      </c>
      <c r="C87" t="s">
        <v>29</v>
      </c>
      <c r="D87" t="s">
        <v>30</v>
      </c>
      <c r="E87" t="s">
        <v>56</v>
      </c>
      <c r="F87">
        <v>3351</v>
      </c>
      <c r="G87">
        <v>2362.9499999999998</v>
      </c>
      <c r="H87">
        <v>6</v>
      </c>
      <c r="I87" s="3">
        <v>0.22</v>
      </c>
      <c r="J87">
        <f t="shared" si="4"/>
        <v>20106</v>
      </c>
      <c r="K87">
        <f t="shared" si="5"/>
        <v>4423.32</v>
      </c>
      <c r="L87">
        <f t="shared" si="6"/>
        <v>1504.9800000000014</v>
      </c>
      <c r="M87" s="4">
        <f t="shared" si="7"/>
        <v>7.4852282900626745</v>
      </c>
    </row>
    <row r="88" spans="1:13" x14ac:dyDescent="0.3">
      <c r="A88" t="s">
        <v>195</v>
      </c>
      <c r="B88" t="s">
        <v>196</v>
      </c>
      <c r="C88" t="s">
        <v>15</v>
      </c>
      <c r="D88" t="s">
        <v>30</v>
      </c>
      <c r="E88" t="s">
        <v>34</v>
      </c>
      <c r="F88">
        <v>3531</v>
      </c>
      <c r="G88">
        <v>2427.0500000000002</v>
      </c>
      <c r="H88">
        <v>4</v>
      </c>
      <c r="I88" s="3">
        <v>0.13</v>
      </c>
      <c r="J88">
        <f t="shared" si="4"/>
        <v>14124</v>
      </c>
      <c r="K88">
        <f t="shared" si="5"/>
        <v>1836.1200000000001</v>
      </c>
      <c r="L88">
        <f t="shared" si="6"/>
        <v>2579.6799999999994</v>
      </c>
      <c r="M88" s="4">
        <f t="shared" si="7"/>
        <v>18.264514301897474</v>
      </c>
    </row>
    <row r="89" spans="1:13" x14ac:dyDescent="0.3">
      <c r="A89" t="s">
        <v>197</v>
      </c>
      <c r="B89" t="s">
        <v>198</v>
      </c>
      <c r="C89" t="s">
        <v>25</v>
      </c>
      <c r="D89" t="s">
        <v>30</v>
      </c>
      <c r="E89" t="s">
        <v>59</v>
      </c>
      <c r="F89">
        <v>2985</v>
      </c>
      <c r="G89">
        <v>1802.77</v>
      </c>
      <c r="H89">
        <v>4</v>
      </c>
      <c r="I89" s="3">
        <v>0.39</v>
      </c>
      <c r="J89">
        <f t="shared" si="4"/>
        <v>11940</v>
      </c>
      <c r="K89">
        <f t="shared" si="5"/>
        <v>4656.6000000000004</v>
      </c>
      <c r="L89">
        <f t="shared" si="6"/>
        <v>72.319999999999709</v>
      </c>
      <c r="M89" s="4">
        <f t="shared" si="7"/>
        <v>0.60569514237855704</v>
      </c>
    </row>
    <row r="90" spans="1:13" x14ac:dyDescent="0.3">
      <c r="A90" t="s">
        <v>199</v>
      </c>
      <c r="B90" t="s">
        <v>200</v>
      </c>
      <c r="C90" t="s">
        <v>29</v>
      </c>
      <c r="D90" t="s">
        <v>30</v>
      </c>
      <c r="E90" t="s">
        <v>34</v>
      </c>
      <c r="F90">
        <v>2820</v>
      </c>
      <c r="G90">
        <v>2006.71</v>
      </c>
      <c r="H90">
        <v>5</v>
      </c>
      <c r="I90" s="3">
        <v>0.1</v>
      </c>
      <c r="J90">
        <f t="shared" si="4"/>
        <v>14100</v>
      </c>
      <c r="K90">
        <f t="shared" si="5"/>
        <v>1410</v>
      </c>
      <c r="L90">
        <f t="shared" si="6"/>
        <v>2656.4500000000007</v>
      </c>
      <c r="M90" s="4">
        <f t="shared" si="7"/>
        <v>18.84007092198582</v>
      </c>
    </row>
    <row r="91" spans="1:13" x14ac:dyDescent="0.3">
      <c r="A91" t="s">
        <v>201</v>
      </c>
      <c r="B91" t="s">
        <v>202</v>
      </c>
      <c r="C91" t="s">
        <v>20</v>
      </c>
      <c r="D91" t="s">
        <v>30</v>
      </c>
      <c r="E91" t="s">
        <v>31</v>
      </c>
      <c r="F91">
        <v>1935</v>
      </c>
      <c r="G91">
        <v>1571.04</v>
      </c>
      <c r="H91">
        <v>5</v>
      </c>
      <c r="I91" s="3">
        <v>0.09</v>
      </c>
      <c r="J91">
        <f t="shared" si="4"/>
        <v>9675</v>
      </c>
      <c r="K91">
        <f t="shared" si="5"/>
        <v>870.75</v>
      </c>
      <c r="L91">
        <f t="shared" si="6"/>
        <v>949.05000000000018</v>
      </c>
      <c r="M91" s="4">
        <f t="shared" si="7"/>
        <v>9.8093023255813971</v>
      </c>
    </row>
    <row r="92" spans="1:13" x14ac:dyDescent="0.3">
      <c r="A92" t="s">
        <v>203</v>
      </c>
      <c r="B92" t="s">
        <v>55</v>
      </c>
      <c r="C92" t="s">
        <v>29</v>
      </c>
      <c r="D92" t="s">
        <v>30</v>
      </c>
      <c r="E92" t="s">
        <v>34</v>
      </c>
      <c r="F92">
        <v>3464</v>
      </c>
      <c r="G92">
        <v>2867.15</v>
      </c>
      <c r="H92">
        <v>1</v>
      </c>
      <c r="I92" s="3">
        <v>0.14000000000000001</v>
      </c>
      <c r="J92">
        <f t="shared" si="4"/>
        <v>3464</v>
      </c>
      <c r="K92">
        <f t="shared" si="5"/>
        <v>484.96000000000004</v>
      </c>
      <c r="L92">
        <f t="shared" si="6"/>
        <v>111.88999999999987</v>
      </c>
      <c r="M92" s="4">
        <f t="shared" si="7"/>
        <v>3.2300808314087721</v>
      </c>
    </row>
    <row r="93" spans="1:13" x14ac:dyDescent="0.3">
      <c r="A93" t="s">
        <v>204</v>
      </c>
      <c r="B93" t="s">
        <v>205</v>
      </c>
      <c r="C93" t="s">
        <v>20</v>
      </c>
      <c r="D93" t="s">
        <v>21</v>
      </c>
      <c r="E93" t="s">
        <v>62</v>
      </c>
      <c r="F93">
        <v>893</v>
      </c>
      <c r="G93">
        <v>578.4</v>
      </c>
      <c r="H93">
        <v>2</v>
      </c>
      <c r="I93" s="3">
        <v>0.05</v>
      </c>
      <c r="J93">
        <f t="shared" si="4"/>
        <v>1786</v>
      </c>
      <c r="K93">
        <f t="shared" si="5"/>
        <v>89.300000000000011</v>
      </c>
      <c r="L93">
        <f t="shared" si="6"/>
        <v>539.90000000000009</v>
      </c>
      <c r="M93" s="4">
        <f t="shared" si="7"/>
        <v>30.229563269876824</v>
      </c>
    </row>
    <row r="94" spans="1:13" x14ac:dyDescent="0.3">
      <c r="A94" t="s">
        <v>206</v>
      </c>
      <c r="B94" t="s">
        <v>207</v>
      </c>
      <c r="C94" t="s">
        <v>25</v>
      </c>
      <c r="D94" t="s">
        <v>30</v>
      </c>
      <c r="E94" t="s">
        <v>34</v>
      </c>
      <c r="F94">
        <v>2196</v>
      </c>
      <c r="G94">
        <v>1537.64</v>
      </c>
      <c r="H94">
        <v>10</v>
      </c>
      <c r="I94" s="3">
        <v>0.28999999999999998</v>
      </c>
      <c r="J94">
        <f t="shared" si="4"/>
        <v>21960</v>
      </c>
      <c r="K94">
        <f t="shared" si="5"/>
        <v>6368.4</v>
      </c>
      <c r="L94">
        <f t="shared" si="6"/>
        <v>215.19999999999891</v>
      </c>
      <c r="M94" s="4">
        <f t="shared" si="7"/>
        <v>0.97996357012749957</v>
      </c>
    </row>
    <row r="95" spans="1:13" x14ac:dyDescent="0.3">
      <c r="A95" t="s">
        <v>208</v>
      </c>
      <c r="B95" t="s">
        <v>209</v>
      </c>
      <c r="C95" t="s">
        <v>15</v>
      </c>
      <c r="D95" t="s">
        <v>21</v>
      </c>
      <c r="E95" t="s">
        <v>37</v>
      </c>
      <c r="F95">
        <v>2164</v>
      </c>
      <c r="G95">
        <v>1676.78</v>
      </c>
      <c r="H95">
        <v>3</v>
      </c>
      <c r="I95" s="3">
        <v>0.05</v>
      </c>
      <c r="J95">
        <f t="shared" si="4"/>
        <v>6492</v>
      </c>
      <c r="K95">
        <f t="shared" si="5"/>
        <v>324.60000000000002</v>
      </c>
      <c r="L95">
        <f t="shared" si="6"/>
        <v>1137.06</v>
      </c>
      <c r="M95" s="4">
        <f t="shared" si="7"/>
        <v>17.514787430683917</v>
      </c>
    </row>
    <row r="96" spans="1:13" x14ac:dyDescent="0.3">
      <c r="A96" t="s">
        <v>210</v>
      </c>
      <c r="B96" t="s">
        <v>211</v>
      </c>
      <c r="C96" t="s">
        <v>20</v>
      </c>
      <c r="D96" t="s">
        <v>21</v>
      </c>
      <c r="E96" t="s">
        <v>22</v>
      </c>
      <c r="F96">
        <v>1565</v>
      </c>
      <c r="G96">
        <v>1288.7</v>
      </c>
      <c r="H96">
        <v>1</v>
      </c>
      <c r="I96" s="3">
        <v>0.03</v>
      </c>
      <c r="J96">
        <f t="shared" si="4"/>
        <v>1565</v>
      </c>
      <c r="K96">
        <f t="shared" si="5"/>
        <v>46.949999999999996</v>
      </c>
      <c r="L96">
        <f t="shared" si="6"/>
        <v>229.34999999999997</v>
      </c>
      <c r="M96" s="4">
        <f t="shared" si="7"/>
        <v>14.654952076677313</v>
      </c>
    </row>
    <row r="97" spans="1:13" x14ac:dyDescent="0.3">
      <c r="A97" t="s">
        <v>212</v>
      </c>
      <c r="B97" t="s">
        <v>213</v>
      </c>
      <c r="C97" t="s">
        <v>15</v>
      </c>
      <c r="D97" t="s">
        <v>16</v>
      </c>
      <c r="E97" t="s">
        <v>40</v>
      </c>
      <c r="F97">
        <v>3762</v>
      </c>
      <c r="G97">
        <v>3174.3</v>
      </c>
      <c r="H97">
        <v>9</v>
      </c>
      <c r="I97" s="3">
        <v>7.0000000000000007E-2</v>
      </c>
      <c r="J97">
        <f t="shared" si="4"/>
        <v>33858</v>
      </c>
      <c r="K97">
        <f t="shared" si="5"/>
        <v>2370.0600000000004</v>
      </c>
      <c r="L97">
        <f t="shared" si="6"/>
        <v>2919.2399999999989</v>
      </c>
      <c r="M97" s="4">
        <f t="shared" si="7"/>
        <v>8.6220095693779886</v>
      </c>
    </row>
    <row r="98" spans="1:13" x14ac:dyDescent="0.3">
      <c r="A98" t="s">
        <v>214</v>
      </c>
      <c r="B98" t="s">
        <v>215</v>
      </c>
      <c r="C98" t="s">
        <v>25</v>
      </c>
      <c r="D98" t="s">
        <v>21</v>
      </c>
      <c r="E98" t="s">
        <v>22</v>
      </c>
      <c r="F98">
        <v>2021</v>
      </c>
      <c r="G98">
        <v>1142.22</v>
      </c>
      <c r="H98">
        <v>7</v>
      </c>
      <c r="I98" s="3">
        <v>0.38</v>
      </c>
      <c r="J98">
        <f t="shared" si="4"/>
        <v>14147</v>
      </c>
      <c r="K98">
        <f t="shared" si="5"/>
        <v>5375.86</v>
      </c>
      <c r="L98">
        <f t="shared" si="6"/>
        <v>775.60000000000036</v>
      </c>
      <c r="M98" s="4">
        <f t="shared" si="7"/>
        <v>5.4824344383968358</v>
      </c>
    </row>
    <row r="99" spans="1:13" x14ac:dyDescent="0.3">
      <c r="A99" t="s">
        <v>216</v>
      </c>
      <c r="B99" t="s">
        <v>28</v>
      </c>
      <c r="C99" t="s">
        <v>20</v>
      </c>
      <c r="D99" t="s">
        <v>30</v>
      </c>
      <c r="E99" t="s">
        <v>31</v>
      </c>
      <c r="F99">
        <v>2390</v>
      </c>
      <c r="G99">
        <v>1911.82</v>
      </c>
      <c r="H99">
        <v>3</v>
      </c>
      <c r="I99" s="3">
        <v>0.19</v>
      </c>
      <c r="J99">
        <f t="shared" si="4"/>
        <v>7170</v>
      </c>
      <c r="K99">
        <f t="shared" si="5"/>
        <v>1362.3</v>
      </c>
      <c r="L99">
        <f t="shared" si="6"/>
        <v>72.240000000000009</v>
      </c>
      <c r="M99" s="4">
        <f t="shared" si="7"/>
        <v>1.0075313807531383</v>
      </c>
    </row>
    <row r="100" spans="1:13" x14ac:dyDescent="0.3">
      <c r="A100" t="s">
        <v>217</v>
      </c>
      <c r="B100" t="s">
        <v>149</v>
      </c>
      <c r="C100" t="s">
        <v>29</v>
      </c>
      <c r="D100" t="s">
        <v>30</v>
      </c>
      <c r="E100" t="s">
        <v>31</v>
      </c>
      <c r="F100">
        <v>3255</v>
      </c>
      <c r="G100">
        <v>2447.71</v>
      </c>
      <c r="H100">
        <v>1</v>
      </c>
      <c r="I100" s="3">
        <v>0.24</v>
      </c>
      <c r="J100">
        <f t="shared" si="4"/>
        <v>3255</v>
      </c>
      <c r="K100">
        <f t="shared" si="5"/>
        <v>781.19999999999993</v>
      </c>
      <c r="L100">
        <f t="shared" si="6"/>
        <v>26.090000000000032</v>
      </c>
      <c r="M100" s="4">
        <f t="shared" si="7"/>
        <v>0.80153609831029282</v>
      </c>
    </row>
    <row r="101" spans="1:13" x14ac:dyDescent="0.3">
      <c r="A101" t="s">
        <v>218</v>
      </c>
      <c r="B101" t="s">
        <v>219</v>
      </c>
      <c r="C101" t="s">
        <v>20</v>
      </c>
      <c r="D101" t="s">
        <v>16</v>
      </c>
      <c r="E101" t="s">
        <v>40</v>
      </c>
      <c r="F101">
        <v>3050</v>
      </c>
      <c r="G101">
        <v>2414.75</v>
      </c>
      <c r="H101">
        <v>2</v>
      </c>
      <c r="I101" s="3">
        <v>0.25</v>
      </c>
      <c r="J101">
        <f t="shared" si="4"/>
        <v>6100</v>
      </c>
      <c r="K101">
        <f t="shared" si="5"/>
        <v>1525</v>
      </c>
      <c r="L101">
        <f t="shared" si="6"/>
        <v>-254.5</v>
      </c>
      <c r="M101" s="4">
        <f t="shared" si="7"/>
        <v>-4.1721311475409832</v>
      </c>
    </row>
    <row r="102" spans="1:13" x14ac:dyDescent="0.3">
      <c r="A102" t="s">
        <v>220</v>
      </c>
      <c r="B102" t="s">
        <v>221</v>
      </c>
      <c r="C102" t="s">
        <v>29</v>
      </c>
      <c r="D102" t="s">
        <v>16</v>
      </c>
      <c r="E102" t="s">
        <v>85</v>
      </c>
      <c r="F102">
        <v>4071</v>
      </c>
      <c r="G102">
        <v>3019.38</v>
      </c>
      <c r="H102">
        <v>10</v>
      </c>
      <c r="I102" s="3">
        <v>0.16</v>
      </c>
      <c r="J102">
        <f t="shared" si="4"/>
        <v>40710</v>
      </c>
      <c r="K102">
        <f t="shared" si="5"/>
        <v>6513.6</v>
      </c>
      <c r="L102">
        <f t="shared" si="6"/>
        <v>4002.5999999999967</v>
      </c>
      <c r="M102" s="4">
        <f t="shared" si="7"/>
        <v>9.8319823139277744</v>
      </c>
    </row>
    <row r="103" spans="1:13" x14ac:dyDescent="0.3">
      <c r="A103" t="s">
        <v>222</v>
      </c>
      <c r="B103" t="s">
        <v>223</v>
      </c>
      <c r="C103" t="s">
        <v>25</v>
      </c>
      <c r="D103" t="s">
        <v>16</v>
      </c>
      <c r="E103" t="s">
        <v>40</v>
      </c>
      <c r="F103">
        <v>3344</v>
      </c>
      <c r="G103">
        <v>1902.57</v>
      </c>
      <c r="H103">
        <v>10</v>
      </c>
      <c r="I103" s="3">
        <v>0.25</v>
      </c>
      <c r="J103">
        <f t="shared" si="4"/>
        <v>33440</v>
      </c>
      <c r="K103">
        <f t="shared" si="5"/>
        <v>8360</v>
      </c>
      <c r="L103">
        <f t="shared" si="6"/>
        <v>6054.2999999999993</v>
      </c>
      <c r="M103" s="4">
        <f t="shared" si="7"/>
        <v>18.104964114832534</v>
      </c>
    </row>
    <row r="104" spans="1:13" x14ac:dyDescent="0.3">
      <c r="A104" t="s">
        <v>224</v>
      </c>
      <c r="B104" t="s">
        <v>225</v>
      </c>
      <c r="C104" t="s">
        <v>20</v>
      </c>
      <c r="D104" t="s">
        <v>21</v>
      </c>
      <c r="E104" t="s">
        <v>47</v>
      </c>
      <c r="F104">
        <v>2311</v>
      </c>
      <c r="G104">
        <v>1350.13</v>
      </c>
      <c r="H104">
        <v>8</v>
      </c>
      <c r="I104" s="3">
        <v>0.21</v>
      </c>
      <c r="J104">
        <f t="shared" si="4"/>
        <v>18488</v>
      </c>
      <c r="K104">
        <f t="shared" si="5"/>
        <v>3882.48</v>
      </c>
      <c r="L104">
        <f t="shared" si="6"/>
        <v>3804.4799999999991</v>
      </c>
      <c r="M104" s="4">
        <f t="shared" si="7"/>
        <v>20.578104716572906</v>
      </c>
    </row>
    <row r="105" spans="1:13" x14ac:dyDescent="0.3">
      <c r="A105" t="s">
        <v>226</v>
      </c>
      <c r="B105" t="s">
        <v>194</v>
      </c>
      <c r="C105" t="s">
        <v>20</v>
      </c>
      <c r="D105" t="s">
        <v>16</v>
      </c>
      <c r="E105" t="s">
        <v>26</v>
      </c>
      <c r="F105">
        <v>5713</v>
      </c>
      <c r="G105">
        <v>4500.6899999999996</v>
      </c>
      <c r="H105">
        <v>7</v>
      </c>
      <c r="I105" s="3">
        <v>0.18</v>
      </c>
      <c r="J105">
        <f t="shared" si="4"/>
        <v>39991</v>
      </c>
      <c r="K105">
        <f t="shared" si="5"/>
        <v>7198.38</v>
      </c>
      <c r="L105">
        <f t="shared" si="6"/>
        <v>1287.7900000000018</v>
      </c>
      <c r="M105" s="4">
        <f t="shared" si="7"/>
        <v>3.2201995448976062</v>
      </c>
    </row>
    <row r="106" spans="1:13" x14ac:dyDescent="0.3">
      <c r="A106" t="s">
        <v>227</v>
      </c>
      <c r="B106" t="s">
        <v>228</v>
      </c>
      <c r="C106" t="s">
        <v>25</v>
      </c>
      <c r="D106" t="s">
        <v>16</v>
      </c>
      <c r="E106" t="s">
        <v>26</v>
      </c>
      <c r="F106">
        <v>3500</v>
      </c>
      <c r="G106">
        <v>2386.9299999999998</v>
      </c>
      <c r="H106">
        <v>10</v>
      </c>
      <c r="I106" s="3">
        <v>0.26</v>
      </c>
      <c r="J106">
        <f t="shared" si="4"/>
        <v>35000</v>
      </c>
      <c r="K106">
        <f t="shared" si="5"/>
        <v>9100</v>
      </c>
      <c r="L106">
        <f t="shared" si="6"/>
        <v>2030.7000000000007</v>
      </c>
      <c r="M106" s="4">
        <f t="shared" si="7"/>
        <v>5.8020000000000023</v>
      </c>
    </row>
    <row r="107" spans="1:13" x14ac:dyDescent="0.3">
      <c r="A107" t="s">
        <v>229</v>
      </c>
      <c r="B107" t="s">
        <v>129</v>
      </c>
      <c r="C107" t="s">
        <v>29</v>
      </c>
      <c r="D107" t="s">
        <v>16</v>
      </c>
      <c r="E107" t="s">
        <v>26</v>
      </c>
      <c r="F107">
        <v>2564</v>
      </c>
      <c r="G107">
        <v>2124.19</v>
      </c>
      <c r="H107">
        <v>8</v>
      </c>
      <c r="I107" s="3">
        <v>0.14000000000000001</v>
      </c>
      <c r="J107">
        <f t="shared" si="4"/>
        <v>20512</v>
      </c>
      <c r="K107">
        <f t="shared" si="5"/>
        <v>2871.6800000000003</v>
      </c>
      <c r="L107">
        <f t="shared" si="6"/>
        <v>646.79999999999927</v>
      </c>
      <c r="M107" s="4">
        <f t="shared" si="7"/>
        <v>3.1532761310452386</v>
      </c>
    </row>
    <row r="108" spans="1:13" x14ac:dyDescent="0.3">
      <c r="A108" t="s">
        <v>230</v>
      </c>
      <c r="B108" t="s">
        <v>231</v>
      </c>
      <c r="C108" t="s">
        <v>25</v>
      </c>
      <c r="D108" t="s">
        <v>30</v>
      </c>
      <c r="E108" t="s">
        <v>56</v>
      </c>
      <c r="F108">
        <v>2960</v>
      </c>
      <c r="G108">
        <v>1935.99</v>
      </c>
      <c r="H108">
        <v>10</v>
      </c>
      <c r="I108" s="3">
        <v>0.28999999999999998</v>
      </c>
      <c r="J108">
        <f t="shared" si="4"/>
        <v>29600</v>
      </c>
      <c r="K108">
        <f t="shared" si="5"/>
        <v>8584</v>
      </c>
      <c r="L108">
        <f t="shared" si="6"/>
        <v>1656.0999999999985</v>
      </c>
      <c r="M108" s="4">
        <f t="shared" si="7"/>
        <v>5.5949324324324277</v>
      </c>
    </row>
    <row r="109" spans="1:13" x14ac:dyDescent="0.3">
      <c r="A109" t="s">
        <v>232</v>
      </c>
      <c r="B109" t="s">
        <v>233</v>
      </c>
      <c r="C109" t="s">
        <v>29</v>
      </c>
      <c r="D109" t="s">
        <v>16</v>
      </c>
      <c r="E109" t="s">
        <v>26</v>
      </c>
      <c r="F109">
        <v>5517</v>
      </c>
      <c r="G109">
        <v>3339.62</v>
      </c>
      <c r="H109">
        <v>7</v>
      </c>
      <c r="I109" s="3">
        <v>0.19</v>
      </c>
      <c r="J109">
        <f t="shared" si="4"/>
        <v>38619</v>
      </c>
      <c r="K109">
        <f t="shared" si="5"/>
        <v>7337.61</v>
      </c>
      <c r="L109">
        <f t="shared" si="6"/>
        <v>7904.05</v>
      </c>
      <c r="M109" s="4">
        <f t="shared" si="7"/>
        <v>20.466739169838679</v>
      </c>
    </row>
    <row r="110" spans="1:13" x14ac:dyDescent="0.3">
      <c r="A110" t="s">
        <v>234</v>
      </c>
      <c r="B110" t="s">
        <v>235</v>
      </c>
      <c r="C110" t="s">
        <v>20</v>
      </c>
      <c r="D110" t="s">
        <v>21</v>
      </c>
      <c r="E110" t="s">
        <v>47</v>
      </c>
      <c r="F110">
        <v>1292</v>
      </c>
      <c r="G110">
        <v>779.48</v>
      </c>
      <c r="H110">
        <v>8</v>
      </c>
      <c r="I110" s="3">
        <v>0.12</v>
      </c>
      <c r="J110">
        <f t="shared" si="4"/>
        <v>10336</v>
      </c>
      <c r="K110">
        <f t="shared" si="5"/>
        <v>1240.32</v>
      </c>
      <c r="L110">
        <f t="shared" si="6"/>
        <v>2859.84</v>
      </c>
      <c r="M110" s="4">
        <f t="shared" si="7"/>
        <v>27.668730650154799</v>
      </c>
    </row>
    <row r="111" spans="1:13" x14ac:dyDescent="0.3">
      <c r="A111" t="s">
        <v>236</v>
      </c>
      <c r="B111" t="s">
        <v>237</v>
      </c>
      <c r="C111" t="s">
        <v>25</v>
      </c>
      <c r="D111" t="s">
        <v>30</v>
      </c>
      <c r="E111" t="s">
        <v>31</v>
      </c>
      <c r="F111">
        <v>2123</v>
      </c>
      <c r="G111">
        <v>1452.97</v>
      </c>
      <c r="H111">
        <v>4</v>
      </c>
      <c r="I111" s="3">
        <v>0.37</v>
      </c>
      <c r="J111">
        <f t="shared" si="4"/>
        <v>8492</v>
      </c>
      <c r="K111">
        <f t="shared" si="5"/>
        <v>3142.04</v>
      </c>
      <c r="L111">
        <f t="shared" si="6"/>
        <v>-461.92000000000007</v>
      </c>
      <c r="M111" s="4">
        <f t="shared" si="7"/>
        <v>-5.4394724446537923</v>
      </c>
    </row>
    <row r="112" spans="1:13" x14ac:dyDescent="0.3">
      <c r="A112" t="s">
        <v>238</v>
      </c>
      <c r="B112" t="s">
        <v>42</v>
      </c>
      <c r="C112" t="s">
        <v>25</v>
      </c>
      <c r="D112" t="s">
        <v>30</v>
      </c>
      <c r="E112" t="s">
        <v>59</v>
      </c>
      <c r="F112">
        <v>2114</v>
      </c>
      <c r="G112">
        <v>1587.6</v>
      </c>
      <c r="H112">
        <v>9</v>
      </c>
      <c r="I112" s="3">
        <v>0.3</v>
      </c>
      <c r="J112">
        <f t="shared" si="4"/>
        <v>19026</v>
      </c>
      <c r="K112">
        <f t="shared" si="5"/>
        <v>5707.8</v>
      </c>
      <c r="L112">
        <f t="shared" si="6"/>
        <v>-970.19999999999982</v>
      </c>
      <c r="M112" s="4">
        <f t="shared" si="7"/>
        <v>-5.0993377483443698</v>
      </c>
    </row>
    <row r="113" spans="1:13" x14ac:dyDescent="0.3">
      <c r="A113" t="s">
        <v>239</v>
      </c>
      <c r="B113" t="s">
        <v>240</v>
      </c>
      <c r="C113" t="s">
        <v>29</v>
      </c>
      <c r="D113" t="s">
        <v>30</v>
      </c>
      <c r="E113" t="s">
        <v>31</v>
      </c>
      <c r="F113">
        <v>3008</v>
      </c>
      <c r="G113">
        <v>2472.64</v>
      </c>
      <c r="H113">
        <v>3</v>
      </c>
      <c r="I113" s="3">
        <v>7.0000000000000007E-2</v>
      </c>
      <c r="J113">
        <f t="shared" si="4"/>
        <v>9024</v>
      </c>
      <c r="K113">
        <f t="shared" si="5"/>
        <v>631.68000000000006</v>
      </c>
      <c r="L113">
        <f t="shared" si="6"/>
        <v>974.39999999999986</v>
      </c>
      <c r="M113" s="4">
        <f t="shared" si="7"/>
        <v>10.797872340425531</v>
      </c>
    </row>
    <row r="114" spans="1:13" x14ac:dyDescent="0.3">
      <c r="A114" t="s">
        <v>241</v>
      </c>
      <c r="B114" t="s">
        <v>242</v>
      </c>
      <c r="C114" t="s">
        <v>25</v>
      </c>
      <c r="D114" t="s">
        <v>16</v>
      </c>
      <c r="E114" t="s">
        <v>26</v>
      </c>
      <c r="F114">
        <v>3716</v>
      </c>
      <c r="G114">
        <v>2755.42</v>
      </c>
      <c r="H114">
        <v>5</v>
      </c>
      <c r="I114" s="3">
        <v>0.23</v>
      </c>
      <c r="J114">
        <f t="shared" si="4"/>
        <v>18580</v>
      </c>
      <c r="K114">
        <f t="shared" si="5"/>
        <v>4273.4000000000005</v>
      </c>
      <c r="L114">
        <f t="shared" si="6"/>
        <v>529.49999999999909</v>
      </c>
      <c r="M114" s="4">
        <f t="shared" si="7"/>
        <v>2.8498385360602749</v>
      </c>
    </row>
    <row r="115" spans="1:13" x14ac:dyDescent="0.3">
      <c r="A115" t="s">
        <v>243</v>
      </c>
      <c r="B115" t="s">
        <v>244</v>
      </c>
      <c r="C115" t="s">
        <v>20</v>
      </c>
      <c r="D115" t="s">
        <v>30</v>
      </c>
      <c r="E115" t="s">
        <v>31</v>
      </c>
      <c r="F115">
        <v>1909</v>
      </c>
      <c r="G115">
        <v>1490.26</v>
      </c>
      <c r="H115">
        <v>9</v>
      </c>
      <c r="I115" s="3">
        <v>0.17</v>
      </c>
      <c r="J115">
        <f t="shared" si="4"/>
        <v>17181</v>
      </c>
      <c r="K115">
        <f t="shared" si="5"/>
        <v>2920.7700000000004</v>
      </c>
      <c r="L115">
        <f t="shared" si="6"/>
        <v>847.88999999999942</v>
      </c>
      <c r="M115" s="4">
        <f t="shared" si="7"/>
        <v>4.9350445259298024</v>
      </c>
    </row>
    <row r="116" spans="1:13" x14ac:dyDescent="0.3">
      <c r="A116" t="s">
        <v>245</v>
      </c>
      <c r="B116" t="s">
        <v>246</v>
      </c>
      <c r="C116" t="s">
        <v>15</v>
      </c>
      <c r="D116" t="s">
        <v>21</v>
      </c>
      <c r="E116" t="s">
        <v>62</v>
      </c>
      <c r="F116">
        <v>630</v>
      </c>
      <c r="G116">
        <v>383.01</v>
      </c>
      <c r="H116">
        <v>10</v>
      </c>
      <c r="I116" s="3">
        <v>0.09</v>
      </c>
      <c r="J116">
        <f t="shared" si="4"/>
        <v>6300</v>
      </c>
      <c r="K116">
        <f t="shared" si="5"/>
        <v>567</v>
      </c>
      <c r="L116">
        <f t="shared" si="6"/>
        <v>1902.9</v>
      </c>
      <c r="M116" s="4">
        <f t="shared" si="7"/>
        <v>30.204761904761906</v>
      </c>
    </row>
    <row r="117" spans="1:13" x14ac:dyDescent="0.3">
      <c r="A117" t="s">
        <v>247</v>
      </c>
      <c r="B117" t="s">
        <v>248</v>
      </c>
      <c r="C117" t="s">
        <v>15</v>
      </c>
      <c r="D117" t="s">
        <v>16</v>
      </c>
      <c r="E117" t="s">
        <v>40</v>
      </c>
      <c r="F117">
        <v>4878</v>
      </c>
      <c r="G117">
        <v>2963.63</v>
      </c>
      <c r="H117">
        <v>7</v>
      </c>
      <c r="I117" s="3">
        <v>0.02</v>
      </c>
      <c r="J117">
        <f t="shared" si="4"/>
        <v>34146</v>
      </c>
      <c r="K117">
        <f t="shared" si="5"/>
        <v>682.92</v>
      </c>
      <c r="L117">
        <f t="shared" si="6"/>
        <v>12717.67</v>
      </c>
      <c r="M117" s="4">
        <f t="shared" si="7"/>
        <v>37.244977449774495</v>
      </c>
    </row>
    <row r="118" spans="1:13" x14ac:dyDescent="0.3">
      <c r="A118" t="s">
        <v>249</v>
      </c>
      <c r="B118" t="s">
        <v>49</v>
      </c>
      <c r="C118" t="s">
        <v>15</v>
      </c>
      <c r="D118" t="s">
        <v>30</v>
      </c>
      <c r="E118" t="s">
        <v>31</v>
      </c>
      <c r="F118">
        <v>2403</v>
      </c>
      <c r="G118">
        <v>1484.22</v>
      </c>
      <c r="H118">
        <v>9</v>
      </c>
      <c r="I118" s="3">
        <v>0.16</v>
      </c>
      <c r="J118">
        <f t="shared" si="4"/>
        <v>21627</v>
      </c>
      <c r="K118">
        <f t="shared" si="5"/>
        <v>3460.32</v>
      </c>
      <c r="L118">
        <f t="shared" si="6"/>
        <v>4808.7000000000007</v>
      </c>
      <c r="M118" s="4">
        <f t="shared" si="7"/>
        <v>22.234706616729092</v>
      </c>
    </row>
    <row r="119" spans="1:13" x14ac:dyDescent="0.3">
      <c r="A119" t="s">
        <v>250</v>
      </c>
      <c r="B119" t="s">
        <v>251</v>
      </c>
      <c r="C119" t="s">
        <v>25</v>
      </c>
      <c r="D119" t="s">
        <v>21</v>
      </c>
      <c r="E119" t="s">
        <v>22</v>
      </c>
      <c r="F119">
        <v>536</v>
      </c>
      <c r="G119">
        <v>451.48</v>
      </c>
      <c r="H119">
        <v>3</v>
      </c>
      <c r="I119" s="3">
        <v>0.21</v>
      </c>
      <c r="J119">
        <f t="shared" si="4"/>
        <v>1608</v>
      </c>
      <c r="K119">
        <f t="shared" si="5"/>
        <v>337.68</v>
      </c>
      <c r="L119">
        <f t="shared" si="6"/>
        <v>-84.120000000000061</v>
      </c>
      <c r="M119" s="4">
        <f t="shared" si="7"/>
        <v>-5.2313432835820937</v>
      </c>
    </row>
    <row r="120" spans="1:13" x14ac:dyDescent="0.3">
      <c r="A120" t="s">
        <v>252</v>
      </c>
      <c r="B120" t="s">
        <v>253</v>
      </c>
      <c r="C120" t="s">
        <v>15</v>
      </c>
      <c r="D120" t="s">
        <v>30</v>
      </c>
      <c r="E120" t="s">
        <v>34</v>
      </c>
      <c r="F120">
        <v>2780</v>
      </c>
      <c r="G120">
        <v>1849.06</v>
      </c>
      <c r="H120">
        <v>6</v>
      </c>
      <c r="I120" s="3">
        <v>0.01</v>
      </c>
      <c r="J120">
        <f t="shared" si="4"/>
        <v>16680</v>
      </c>
      <c r="K120">
        <f t="shared" si="5"/>
        <v>166.8</v>
      </c>
      <c r="L120">
        <f t="shared" si="6"/>
        <v>5418.8399999999992</v>
      </c>
      <c r="M120" s="4">
        <f t="shared" si="7"/>
        <v>32.487050359712228</v>
      </c>
    </row>
    <row r="121" spans="1:13" x14ac:dyDescent="0.3">
      <c r="A121" t="s">
        <v>254</v>
      </c>
      <c r="B121" t="s">
        <v>36</v>
      </c>
      <c r="C121" t="s">
        <v>20</v>
      </c>
      <c r="D121" t="s">
        <v>21</v>
      </c>
      <c r="E121" t="s">
        <v>62</v>
      </c>
      <c r="F121">
        <v>2054</v>
      </c>
      <c r="G121">
        <v>1318.38</v>
      </c>
      <c r="H121">
        <v>9</v>
      </c>
      <c r="I121" s="3">
        <v>0.11</v>
      </c>
      <c r="J121">
        <f t="shared" si="4"/>
        <v>18486</v>
      </c>
      <c r="K121">
        <f t="shared" si="5"/>
        <v>2033.46</v>
      </c>
      <c r="L121">
        <f t="shared" si="6"/>
        <v>4587.1199999999981</v>
      </c>
      <c r="M121" s="4">
        <f t="shared" si="7"/>
        <v>24.814021421616346</v>
      </c>
    </row>
    <row r="122" spans="1:13" x14ac:dyDescent="0.3">
      <c r="A122" t="s">
        <v>255</v>
      </c>
      <c r="B122" t="s">
        <v>256</v>
      </c>
      <c r="C122" t="s">
        <v>29</v>
      </c>
      <c r="D122" t="s">
        <v>21</v>
      </c>
      <c r="E122" t="s">
        <v>22</v>
      </c>
      <c r="F122">
        <v>2082</v>
      </c>
      <c r="G122">
        <v>1572</v>
      </c>
      <c r="H122">
        <v>6</v>
      </c>
      <c r="I122" s="3">
        <v>0</v>
      </c>
      <c r="J122">
        <f t="shared" si="4"/>
        <v>12492</v>
      </c>
      <c r="K122">
        <f t="shared" si="5"/>
        <v>0</v>
      </c>
      <c r="L122">
        <f t="shared" si="6"/>
        <v>3060</v>
      </c>
      <c r="M122" s="4">
        <f t="shared" si="7"/>
        <v>24.495677233429394</v>
      </c>
    </row>
    <row r="123" spans="1:13" x14ac:dyDescent="0.3">
      <c r="A123" t="s">
        <v>257</v>
      </c>
      <c r="B123" t="s">
        <v>258</v>
      </c>
      <c r="C123" t="s">
        <v>25</v>
      </c>
      <c r="D123" t="s">
        <v>30</v>
      </c>
      <c r="E123" t="s">
        <v>59</v>
      </c>
      <c r="F123">
        <v>1721</v>
      </c>
      <c r="G123">
        <v>1370.71</v>
      </c>
      <c r="H123">
        <v>3</v>
      </c>
      <c r="I123" s="3">
        <v>0.38</v>
      </c>
      <c r="J123">
        <f t="shared" si="4"/>
        <v>5163</v>
      </c>
      <c r="K123">
        <f t="shared" si="5"/>
        <v>1961.94</v>
      </c>
      <c r="L123">
        <f t="shared" si="6"/>
        <v>-911.07000000000016</v>
      </c>
      <c r="M123" s="4">
        <f t="shared" si="7"/>
        <v>-17.646135967460783</v>
      </c>
    </row>
    <row r="124" spans="1:13" x14ac:dyDescent="0.3">
      <c r="A124" t="s">
        <v>259</v>
      </c>
      <c r="B124" t="s">
        <v>260</v>
      </c>
      <c r="C124" t="s">
        <v>25</v>
      </c>
      <c r="D124" t="s">
        <v>21</v>
      </c>
      <c r="E124" t="s">
        <v>22</v>
      </c>
      <c r="F124">
        <v>1953</v>
      </c>
      <c r="G124">
        <v>1440.04</v>
      </c>
      <c r="H124">
        <v>2</v>
      </c>
      <c r="I124" s="3">
        <v>0.4</v>
      </c>
      <c r="J124">
        <f t="shared" si="4"/>
        <v>3906</v>
      </c>
      <c r="K124">
        <f t="shared" si="5"/>
        <v>1562.4</v>
      </c>
      <c r="L124">
        <f t="shared" si="6"/>
        <v>-536.48</v>
      </c>
      <c r="M124" s="4">
        <f t="shared" si="7"/>
        <v>-13.734767025089607</v>
      </c>
    </row>
    <row r="125" spans="1:13" x14ac:dyDescent="0.3">
      <c r="A125" t="s">
        <v>261</v>
      </c>
      <c r="B125" t="s">
        <v>140</v>
      </c>
      <c r="C125" t="s">
        <v>20</v>
      </c>
      <c r="D125" t="s">
        <v>16</v>
      </c>
      <c r="E125" t="s">
        <v>40</v>
      </c>
      <c r="F125">
        <v>2679</v>
      </c>
      <c r="G125">
        <v>1876.33</v>
      </c>
      <c r="H125">
        <v>4</v>
      </c>
      <c r="I125" s="3">
        <v>0.2</v>
      </c>
      <c r="J125">
        <f t="shared" si="4"/>
        <v>10716</v>
      </c>
      <c r="K125">
        <f t="shared" si="5"/>
        <v>2143.2000000000003</v>
      </c>
      <c r="L125">
        <f t="shared" si="6"/>
        <v>1067.48</v>
      </c>
      <c r="M125" s="4">
        <f t="shared" si="7"/>
        <v>9.9615528182157522</v>
      </c>
    </row>
    <row r="126" spans="1:13" x14ac:dyDescent="0.3">
      <c r="A126" t="s">
        <v>262</v>
      </c>
      <c r="B126" t="s">
        <v>66</v>
      </c>
      <c r="C126" t="s">
        <v>20</v>
      </c>
      <c r="D126" t="s">
        <v>16</v>
      </c>
      <c r="E126" t="s">
        <v>40</v>
      </c>
      <c r="F126">
        <v>4490</v>
      </c>
      <c r="G126">
        <v>3413.9</v>
      </c>
      <c r="H126">
        <v>10</v>
      </c>
      <c r="I126" s="3">
        <v>0.11</v>
      </c>
      <c r="J126">
        <f t="shared" si="4"/>
        <v>44900</v>
      </c>
      <c r="K126">
        <f t="shared" si="5"/>
        <v>4939</v>
      </c>
      <c r="L126">
        <f t="shared" si="6"/>
        <v>5822</v>
      </c>
      <c r="M126" s="4">
        <f t="shared" si="7"/>
        <v>12.966592427616927</v>
      </c>
    </row>
    <row r="127" spans="1:13" x14ac:dyDescent="0.3">
      <c r="A127" t="s">
        <v>263</v>
      </c>
      <c r="B127" t="s">
        <v>264</v>
      </c>
      <c r="C127" t="s">
        <v>29</v>
      </c>
      <c r="D127" t="s">
        <v>30</v>
      </c>
      <c r="E127" t="s">
        <v>34</v>
      </c>
      <c r="F127">
        <v>3878</v>
      </c>
      <c r="G127">
        <v>3100.08</v>
      </c>
      <c r="H127">
        <v>2</v>
      </c>
      <c r="I127" s="3">
        <v>0.21</v>
      </c>
      <c r="J127">
        <f t="shared" si="4"/>
        <v>7756</v>
      </c>
      <c r="K127">
        <f t="shared" si="5"/>
        <v>1628.76</v>
      </c>
      <c r="L127">
        <f t="shared" si="6"/>
        <v>-72.919999999999845</v>
      </c>
      <c r="M127" s="4">
        <f t="shared" si="7"/>
        <v>-0.94017534811758441</v>
      </c>
    </row>
    <row r="128" spans="1:13" x14ac:dyDescent="0.3">
      <c r="A128" t="s">
        <v>265</v>
      </c>
      <c r="B128" t="s">
        <v>266</v>
      </c>
      <c r="C128" t="s">
        <v>25</v>
      </c>
      <c r="D128" t="s">
        <v>16</v>
      </c>
      <c r="E128" t="s">
        <v>40</v>
      </c>
      <c r="F128">
        <v>5220</v>
      </c>
      <c r="G128">
        <v>3710.71</v>
      </c>
      <c r="H128">
        <v>8</v>
      </c>
      <c r="I128" s="3">
        <v>0.23</v>
      </c>
      <c r="J128">
        <f t="shared" si="4"/>
        <v>41760</v>
      </c>
      <c r="K128">
        <f t="shared" si="5"/>
        <v>9604.8000000000011</v>
      </c>
      <c r="L128">
        <f t="shared" si="6"/>
        <v>2469.5199999999986</v>
      </c>
      <c r="M128" s="4">
        <f t="shared" si="7"/>
        <v>5.9136015325670463</v>
      </c>
    </row>
    <row r="129" spans="1:13" x14ac:dyDescent="0.3">
      <c r="A129" t="s">
        <v>267</v>
      </c>
      <c r="B129" t="s">
        <v>268</v>
      </c>
      <c r="C129" t="s">
        <v>15</v>
      </c>
      <c r="D129" t="s">
        <v>21</v>
      </c>
      <c r="E129" t="s">
        <v>62</v>
      </c>
      <c r="F129">
        <v>2308</v>
      </c>
      <c r="G129">
        <v>1291.22</v>
      </c>
      <c r="H129">
        <v>2</v>
      </c>
      <c r="I129" s="3">
        <v>0.15</v>
      </c>
      <c r="J129">
        <f t="shared" si="4"/>
        <v>4616</v>
      </c>
      <c r="K129">
        <f t="shared" si="5"/>
        <v>692.4</v>
      </c>
      <c r="L129">
        <f t="shared" si="6"/>
        <v>1341.1599999999999</v>
      </c>
      <c r="M129" s="4">
        <f t="shared" si="7"/>
        <v>29.054592720970536</v>
      </c>
    </row>
    <row r="130" spans="1:13" x14ac:dyDescent="0.3">
      <c r="A130" t="s">
        <v>269</v>
      </c>
      <c r="B130" t="s">
        <v>270</v>
      </c>
      <c r="C130" t="s">
        <v>29</v>
      </c>
      <c r="D130" t="s">
        <v>30</v>
      </c>
      <c r="E130" t="s">
        <v>56</v>
      </c>
      <c r="F130">
        <v>2628</v>
      </c>
      <c r="G130">
        <v>1936.02</v>
      </c>
      <c r="H130">
        <v>10</v>
      </c>
      <c r="I130" s="3">
        <v>0.14000000000000001</v>
      </c>
      <c r="J130">
        <f t="shared" ref="J130:J193" si="8">F130*H130</f>
        <v>26280</v>
      </c>
      <c r="K130">
        <f t="shared" ref="K130:K193" si="9">J130*I130</f>
        <v>3679.2000000000003</v>
      </c>
      <c r="L130">
        <f t="shared" ref="L130:L193" si="10">J130-(G130*H130)-K130</f>
        <v>3240.599999999999</v>
      </c>
      <c r="M130" s="4">
        <f t="shared" ref="M130:M193" si="11">(L130/J130)*100</f>
        <v>12.331050228310499</v>
      </c>
    </row>
    <row r="131" spans="1:13" x14ac:dyDescent="0.3">
      <c r="A131" t="s">
        <v>271</v>
      </c>
      <c r="B131" t="s">
        <v>251</v>
      </c>
      <c r="C131" t="s">
        <v>25</v>
      </c>
      <c r="D131" t="s">
        <v>16</v>
      </c>
      <c r="E131" t="s">
        <v>85</v>
      </c>
      <c r="F131">
        <v>5534</v>
      </c>
      <c r="G131">
        <v>3448.74</v>
      </c>
      <c r="H131">
        <v>10</v>
      </c>
      <c r="I131" s="3">
        <v>0.28999999999999998</v>
      </c>
      <c r="J131">
        <f t="shared" si="8"/>
        <v>55340</v>
      </c>
      <c r="K131">
        <f t="shared" si="9"/>
        <v>16048.599999999999</v>
      </c>
      <c r="L131">
        <f t="shared" si="10"/>
        <v>4804.0000000000073</v>
      </c>
      <c r="M131" s="4">
        <f t="shared" si="11"/>
        <v>8.680881821467306</v>
      </c>
    </row>
    <row r="132" spans="1:13" x14ac:dyDescent="0.3">
      <c r="A132" t="s">
        <v>272</v>
      </c>
      <c r="B132" t="s">
        <v>273</v>
      </c>
      <c r="C132" t="s">
        <v>20</v>
      </c>
      <c r="D132" t="s">
        <v>21</v>
      </c>
      <c r="E132" t="s">
        <v>37</v>
      </c>
      <c r="F132">
        <v>2285</v>
      </c>
      <c r="G132">
        <v>1529.5</v>
      </c>
      <c r="H132">
        <v>10</v>
      </c>
      <c r="I132" s="3">
        <v>0.15</v>
      </c>
      <c r="J132">
        <f t="shared" si="8"/>
        <v>22850</v>
      </c>
      <c r="K132">
        <f t="shared" si="9"/>
        <v>3427.5</v>
      </c>
      <c r="L132">
        <f t="shared" si="10"/>
        <v>4127.5</v>
      </c>
      <c r="M132" s="4">
        <f t="shared" si="11"/>
        <v>18.063457330415755</v>
      </c>
    </row>
    <row r="133" spans="1:13" x14ac:dyDescent="0.3">
      <c r="A133" t="s">
        <v>274</v>
      </c>
      <c r="B133" t="s">
        <v>275</v>
      </c>
      <c r="C133" t="s">
        <v>29</v>
      </c>
      <c r="D133" t="s">
        <v>16</v>
      </c>
      <c r="E133" t="s">
        <v>40</v>
      </c>
      <c r="F133">
        <v>3918</v>
      </c>
      <c r="G133">
        <v>3257.77</v>
      </c>
      <c r="H133">
        <v>2</v>
      </c>
      <c r="I133" s="3">
        <v>0.15</v>
      </c>
      <c r="J133">
        <f t="shared" si="8"/>
        <v>7836</v>
      </c>
      <c r="K133">
        <f t="shared" si="9"/>
        <v>1175.3999999999999</v>
      </c>
      <c r="L133">
        <f t="shared" si="10"/>
        <v>145.06000000000017</v>
      </c>
      <c r="M133" s="4">
        <f t="shared" si="11"/>
        <v>1.8511995916283841</v>
      </c>
    </row>
    <row r="134" spans="1:13" x14ac:dyDescent="0.3">
      <c r="A134" t="s">
        <v>276</v>
      </c>
      <c r="B134" t="s">
        <v>277</v>
      </c>
      <c r="C134" t="s">
        <v>29</v>
      </c>
      <c r="D134" t="s">
        <v>30</v>
      </c>
      <c r="E134" t="s">
        <v>59</v>
      </c>
      <c r="F134">
        <v>3942</v>
      </c>
      <c r="G134">
        <v>2369.6</v>
      </c>
      <c r="H134">
        <v>1</v>
      </c>
      <c r="I134" s="3">
        <v>0.09</v>
      </c>
      <c r="J134">
        <f t="shared" si="8"/>
        <v>3942</v>
      </c>
      <c r="K134">
        <f t="shared" si="9"/>
        <v>354.78</v>
      </c>
      <c r="L134">
        <f t="shared" si="10"/>
        <v>1217.6200000000001</v>
      </c>
      <c r="M134" s="4">
        <f t="shared" si="11"/>
        <v>30.888381532217153</v>
      </c>
    </row>
    <row r="135" spans="1:13" x14ac:dyDescent="0.3">
      <c r="A135" t="s">
        <v>278</v>
      </c>
      <c r="B135" t="s">
        <v>279</v>
      </c>
      <c r="C135" t="s">
        <v>15</v>
      </c>
      <c r="D135" t="s">
        <v>21</v>
      </c>
      <c r="E135" t="s">
        <v>47</v>
      </c>
      <c r="F135">
        <v>2295</v>
      </c>
      <c r="G135">
        <v>1445.36</v>
      </c>
      <c r="H135">
        <v>5</v>
      </c>
      <c r="I135" s="3">
        <v>0.05</v>
      </c>
      <c r="J135">
        <f t="shared" si="8"/>
        <v>11475</v>
      </c>
      <c r="K135">
        <f t="shared" si="9"/>
        <v>573.75</v>
      </c>
      <c r="L135">
        <f t="shared" si="10"/>
        <v>3674.4500000000007</v>
      </c>
      <c r="M135" s="4">
        <f t="shared" si="11"/>
        <v>32.021350762527241</v>
      </c>
    </row>
    <row r="136" spans="1:13" x14ac:dyDescent="0.3">
      <c r="A136" t="s">
        <v>280</v>
      </c>
      <c r="B136" t="s">
        <v>281</v>
      </c>
      <c r="C136" t="s">
        <v>25</v>
      </c>
      <c r="D136" t="s">
        <v>16</v>
      </c>
      <c r="E136" t="s">
        <v>26</v>
      </c>
      <c r="F136">
        <v>4139</v>
      </c>
      <c r="G136">
        <v>2810.02</v>
      </c>
      <c r="H136">
        <v>10</v>
      </c>
      <c r="I136" s="3">
        <v>0.24</v>
      </c>
      <c r="J136">
        <f t="shared" si="8"/>
        <v>41390</v>
      </c>
      <c r="K136">
        <f t="shared" si="9"/>
        <v>9933.6</v>
      </c>
      <c r="L136">
        <f t="shared" si="10"/>
        <v>3356.1999999999989</v>
      </c>
      <c r="M136" s="4">
        <f t="shared" si="11"/>
        <v>8.1087219135056738</v>
      </c>
    </row>
    <row r="137" spans="1:13" x14ac:dyDescent="0.3">
      <c r="A137" t="s">
        <v>282</v>
      </c>
      <c r="B137" t="s">
        <v>33</v>
      </c>
      <c r="C137" t="s">
        <v>29</v>
      </c>
      <c r="D137" t="s">
        <v>16</v>
      </c>
      <c r="E137" t="s">
        <v>17</v>
      </c>
      <c r="F137">
        <v>4888</v>
      </c>
      <c r="G137">
        <v>3521.75</v>
      </c>
      <c r="H137">
        <v>3</v>
      </c>
      <c r="I137" s="3">
        <v>0.17</v>
      </c>
      <c r="J137">
        <f t="shared" si="8"/>
        <v>14664</v>
      </c>
      <c r="K137">
        <f t="shared" si="9"/>
        <v>2492.88</v>
      </c>
      <c r="L137">
        <f t="shared" si="10"/>
        <v>1605.87</v>
      </c>
      <c r="M137" s="4">
        <f t="shared" si="11"/>
        <v>10.951104746317512</v>
      </c>
    </row>
    <row r="138" spans="1:13" x14ac:dyDescent="0.3">
      <c r="A138" t="s">
        <v>283</v>
      </c>
      <c r="B138" t="s">
        <v>284</v>
      </c>
      <c r="C138" t="s">
        <v>20</v>
      </c>
      <c r="D138" t="s">
        <v>16</v>
      </c>
      <c r="E138" t="s">
        <v>40</v>
      </c>
      <c r="F138">
        <v>2479</v>
      </c>
      <c r="G138">
        <v>2104.21</v>
      </c>
      <c r="H138">
        <v>6</v>
      </c>
      <c r="I138" s="3">
        <v>0.05</v>
      </c>
      <c r="J138">
        <f t="shared" si="8"/>
        <v>14874</v>
      </c>
      <c r="K138">
        <f t="shared" si="9"/>
        <v>743.7</v>
      </c>
      <c r="L138">
        <f t="shared" si="10"/>
        <v>1505.0399999999997</v>
      </c>
      <c r="M138" s="4">
        <f t="shared" si="11"/>
        <v>10.118596208148444</v>
      </c>
    </row>
    <row r="139" spans="1:13" x14ac:dyDescent="0.3">
      <c r="A139" t="s">
        <v>285</v>
      </c>
      <c r="B139" t="s">
        <v>127</v>
      </c>
      <c r="C139" t="s">
        <v>20</v>
      </c>
      <c r="D139" t="s">
        <v>21</v>
      </c>
      <c r="E139" t="s">
        <v>22</v>
      </c>
      <c r="F139">
        <v>561</v>
      </c>
      <c r="G139">
        <v>445.18</v>
      </c>
      <c r="H139">
        <v>9</v>
      </c>
      <c r="I139" s="3">
        <v>0.13</v>
      </c>
      <c r="J139">
        <f t="shared" si="8"/>
        <v>5049</v>
      </c>
      <c r="K139">
        <f t="shared" si="9"/>
        <v>656.37</v>
      </c>
      <c r="L139">
        <f t="shared" si="10"/>
        <v>386.0100000000001</v>
      </c>
      <c r="M139" s="4">
        <f t="shared" si="11"/>
        <v>7.6452762923351179</v>
      </c>
    </row>
    <row r="140" spans="1:13" x14ac:dyDescent="0.3">
      <c r="A140" t="s">
        <v>286</v>
      </c>
      <c r="B140" t="s">
        <v>44</v>
      </c>
      <c r="C140" t="s">
        <v>15</v>
      </c>
      <c r="D140" t="s">
        <v>21</v>
      </c>
      <c r="E140" t="s">
        <v>37</v>
      </c>
      <c r="F140">
        <v>1757</v>
      </c>
      <c r="G140">
        <v>969.39</v>
      </c>
      <c r="H140">
        <v>1</v>
      </c>
      <c r="I140" s="3">
        <v>0.08</v>
      </c>
      <c r="J140">
        <f t="shared" si="8"/>
        <v>1757</v>
      </c>
      <c r="K140">
        <f t="shared" si="9"/>
        <v>140.56</v>
      </c>
      <c r="L140">
        <f t="shared" si="10"/>
        <v>647.04999999999995</v>
      </c>
      <c r="M140" s="4">
        <f t="shared" si="11"/>
        <v>36.826977803073419</v>
      </c>
    </row>
    <row r="141" spans="1:13" x14ac:dyDescent="0.3">
      <c r="A141" t="s">
        <v>287</v>
      </c>
      <c r="B141" t="s">
        <v>110</v>
      </c>
      <c r="C141" t="s">
        <v>29</v>
      </c>
      <c r="D141" t="s">
        <v>30</v>
      </c>
      <c r="E141" t="s">
        <v>56</v>
      </c>
      <c r="F141">
        <v>2425</v>
      </c>
      <c r="G141">
        <v>1431.21</v>
      </c>
      <c r="H141">
        <v>10</v>
      </c>
      <c r="I141" s="3">
        <v>0.13</v>
      </c>
      <c r="J141">
        <f t="shared" si="8"/>
        <v>24250</v>
      </c>
      <c r="K141">
        <f t="shared" si="9"/>
        <v>3152.5</v>
      </c>
      <c r="L141">
        <f t="shared" si="10"/>
        <v>6785.4</v>
      </c>
      <c r="M141" s="4">
        <f t="shared" si="11"/>
        <v>27.98103092783505</v>
      </c>
    </row>
    <row r="142" spans="1:13" x14ac:dyDescent="0.3">
      <c r="A142" t="s">
        <v>288</v>
      </c>
      <c r="B142" t="s">
        <v>289</v>
      </c>
      <c r="C142" t="s">
        <v>20</v>
      </c>
      <c r="D142" t="s">
        <v>21</v>
      </c>
      <c r="E142" t="s">
        <v>47</v>
      </c>
      <c r="F142">
        <v>704</v>
      </c>
      <c r="G142">
        <v>555.12</v>
      </c>
      <c r="H142">
        <v>6</v>
      </c>
      <c r="I142" s="3">
        <v>0.01</v>
      </c>
      <c r="J142">
        <f t="shared" si="8"/>
        <v>4224</v>
      </c>
      <c r="K142">
        <f t="shared" si="9"/>
        <v>42.24</v>
      </c>
      <c r="L142">
        <f t="shared" si="10"/>
        <v>851.03999999999974</v>
      </c>
      <c r="M142" s="4">
        <f t="shared" si="11"/>
        <v>20.147727272727266</v>
      </c>
    </row>
    <row r="143" spans="1:13" x14ac:dyDescent="0.3">
      <c r="A143" t="s">
        <v>290</v>
      </c>
      <c r="B143" t="s">
        <v>179</v>
      </c>
      <c r="C143" t="s">
        <v>15</v>
      </c>
      <c r="D143" t="s">
        <v>21</v>
      </c>
      <c r="E143" t="s">
        <v>47</v>
      </c>
      <c r="F143">
        <v>1428</v>
      </c>
      <c r="G143">
        <v>1089.53</v>
      </c>
      <c r="H143">
        <v>1</v>
      </c>
      <c r="I143" s="3">
        <v>0.17</v>
      </c>
      <c r="J143">
        <f t="shared" si="8"/>
        <v>1428</v>
      </c>
      <c r="K143">
        <f t="shared" si="9"/>
        <v>242.76000000000002</v>
      </c>
      <c r="L143">
        <f t="shared" si="10"/>
        <v>95.710000000000008</v>
      </c>
      <c r="M143" s="4">
        <f t="shared" si="11"/>
        <v>6.7023809523809526</v>
      </c>
    </row>
    <row r="144" spans="1:13" x14ac:dyDescent="0.3">
      <c r="A144" t="s">
        <v>291</v>
      </c>
      <c r="B144" t="s">
        <v>292</v>
      </c>
      <c r="C144" t="s">
        <v>20</v>
      </c>
      <c r="D144" t="s">
        <v>16</v>
      </c>
      <c r="E144" t="s">
        <v>85</v>
      </c>
      <c r="F144">
        <v>2072</v>
      </c>
      <c r="G144">
        <v>1291.3900000000001</v>
      </c>
      <c r="H144">
        <v>5</v>
      </c>
      <c r="I144" s="3">
        <v>0.03</v>
      </c>
      <c r="J144">
        <f t="shared" si="8"/>
        <v>10360</v>
      </c>
      <c r="K144">
        <f t="shared" si="9"/>
        <v>310.8</v>
      </c>
      <c r="L144">
        <f t="shared" si="10"/>
        <v>3592.2499999999991</v>
      </c>
      <c r="M144" s="4">
        <f t="shared" si="11"/>
        <v>34.674227799227793</v>
      </c>
    </row>
    <row r="145" spans="1:13" x14ac:dyDescent="0.3">
      <c r="A145" t="s">
        <v>293</v>
      </c>
      <c r="B145" t="s">
        <v>294</v>
      </c>
      <c r="C145" t="s">
        <v>25</v>
      </c>
      <c r="D145" t="s">
        <v>21</v>
      </c>
      <c r="E145" t="s">
        <v>37</v>
      </c>
      <c r="F145">
        <v>1989</v>
      </c>
      <c r="G145">
        <v>1236.77</v>
      </c>
      <c r="H145">
        <v>5</v>
      </c>
      <c r="I145" s="3">
        <v>0.36</v>
      </c>
      <c r="J145">
        <f t="shared" si="8"/>
        <v>9945</v>
      </c>
      <c r="K145">
        <f t="shared" si="9"/>
        <v>3580.2</v>
      </c>
      <c r="L145">
        <f t="shared" si="10"/>
        <v>180.94999999999982</v>
      </c>
      <c r="M145" s="4">
        <f t="shared" si="11"/>
        <v>1.8195072900955238</v>
      </c>
    </row>
    <row r="146" spans="1:13" x14ac:dyDescent="0.3">
      <c r="A146" t="s">
        <v>295</v>
      </c>
      <c r="B146" t="s">
        <v>76</v>
      </c>
      <c r="C146" t="s">
        <v>15</v>
      </c>
      <c r="D146" t="s">
        <v>21</v>
      </c>
      <c r="E146" t="s">
        <v>62</v>
      </c>
      <c r="F146">
        <v>2227</v>
      </c>
      <c r="G146">
        <v>1252.2</v>
      </c>
      <c r="H146">
        <v>9</v>
      </c>
      <c r="I146" s="3">
        <v>7.0000000000000007E-2</v>
      </c>
      <c r="J146">
        <f t="shared" si="8"/>
        <v>20043</v>
      </c>
      <c r="K146">
        <f t="shared" si="9"/>
        <v>1403.0100000000002</v>
      </c>
      <c r="L146">
        <f t="shared" si="10"/>
        <v>7370.1899999999987</v>
      </c>
      <c r="M146" s="4">
        <f t="shared" si="11"/>
        <v>36.771890435563535</v>
      </c>
    </row>
    <row r="147" spans="1:13" x14ac:dyDescent="0.3">
      <c r="A147" t="s">
        <v>296</v>
      </c>
      <c r="B147" t="s">
        <v>297</v>
      </c>
      <c r="C147" t="s">
        <v>20</v>
      </c>
      <c r="D147" t="s">
        <v>30</v>
      </c>
      <c r="E147" t="s">
        <v>56</v>
      </c>
      <c r="F147">
        <v>2248</v>
      </c>
      <c r="G147">
        <v>1625.51</v>
      </c>
      <c r="H147">
        <v>1</v>
      </c>
      <c r="I147" s="3">
        <v>0.01</v>
      </c>
      <c r="J147">
        <f t="shared" si="8"/>
        <v>2248</v>
      </c>
      <c r="K147">
        <f t="shared" si="9"/>
        <v>22.48</v>
      </c>
      <c r="L147">
        <f t="shared" si="10"/>
        <v>600.01</v>
      </c>
      <c r="M147" s="4">
        <f t="shared" si="11"/>
        <v>26.690836298932386</v>
      </c>
    </row>
    <row r="148" spans="1:13" x14ac:dyDescent="0.3">
      <c r="A148" t="s">
        <v>298</v>
      </c>
      <c r="B148" t="s">
        <v>299</v>
      </c>
      <c r="C148" t="s">
        <v>25</v>
      </c>
      <c r="D148" t="s">
        <v>30</v>
      </c>
      <c r="E148" t="s">
        <v>31</v>
      </c>
      <c r="F148">
        <v>3840</v>
      </c>
      <c r="G148">
        <v>2557.5100000000002</v>
      </c>
      <c r="H148">
        <v>10</v>
      </c>
      <c r="I148" s="3">
        <v>0.33</v>
      </c>
      <c r="J148">
        <f t="shared" si="8"/>
        <v>38400</v>
      </c>
      <c r="K148">
        <f t="shared" si="9"/>
        <v>12672</v>
      </c>
      <c r="L148">
        <f t="shared" si="10"/>
        <v>152.89999999999782</v>
      </c>
      <c r="M148" s="4">
        <f t="shared" si="11"/>
        <v>0.39817708333332763</v>
      </c>
    </row>
    <row r="149" spans="1:13" x14ac:dyDescent="0.3">
      <c r="A149" t="s">
        <v>300</v>
      </c>
      <c r="B149" t="s">
        <v>301</v>
      </c>
      <c r="C149" t="s">
        <v>15</v>
      </c>
      <c r="D149" t="s">
        <v>30</v>
      </c>
      <c r="E149" t="s">
        <v>34</v>
      </c>
      <c r="F149">
        <v>1536</v>
      </c>
      <c r="G149">
        <v>1107.46</v>
      </c>
      <c r="H149">
        <v>4</v>
      </c>
      <c r="I149" s="3">
        <v>0.01</v>
      </c>
      <c r="J149">
        <f t="shared" si="8"/>
        <v>6144</v>
      </c>
      <c r="K149">
        <f t="shared" si="9"/>
        <v>61.44</v>
      </c>
      <c r="L149">
        <f t="shared" si="10"/>
        <v>1652.7199999999998</v>
      </c>
      <c r="M149" s="4">
        <f t="shared" si="11"/>
        <v>26.899739583333332</v>
      </c>
    </row>
    <row r="150" spans="1:13" x14ac:dyDescent="0.3">
      <c r="A150" t="s">
        <v>302</v>
      </c>
      <c r="B150" t="s">
        <v>303</v>
      </c>
      <c r="C150" t="s">
        <v>20</v>
      </c>
      <c r="D150" t="s">
        <v>30</v>
      </c>
      <c r="E150" t="s">
        <v>31</v>
      </c>
      <c r="F150">
        <v>2361</v>
      </c>
      <c r="G150">
        <v>1802.63</v>
      </c>
      <c r="H150">
        <v>9</v>
      </c>
      <c r="I150" s="3">
        <v>0.06</v>
      </c>
      <c r="J150">
        <f t="shared" si="8"/>
        <v>21249</v>
      </c>
      <c r="K150">
        <f t="shared" si="9"/>
        <v>1274.94</v>
      </c>
      <c r="L150">
        <f t="shared" si="10"/>
        <v>3750.3899999999981</v>
      </c>
      <c r="M150" s="4">
        <f t="shared" si="11"/>
        <v>17.649724692926718</v>
      </c>
    </row>
    <row r="151" spans="1:13" x14ac:dyDescent="0.3">
      <c r="A151" t="s">
        <v>304</v>
      </c>
      <c r="B151" t="s">
        <v>305</v>
      </c>
      <c r="C151" t="s">
        <v>15</v>
      </c>
      <c r="D151" t="s">
        <v>21</v>
      </c>
      <c r="E151" t="s">
        <v>62</v>
      </c>
      <c r="F151">
        <v>1185</v>
      </c>
      <c r="G151">
        <v>850.44</v>
      </c>
      <c r="H151">
        <v>5</v>
      </c>
      <c r="I151" s="3">
        <v>0.05</v>
      </c>
      <c r="J151">
        <f t="shared" si="8"/>
        <v>5925</v>
      </c>
      <c r="K151">
        <f t="shared" si="9"/>
        <v>296.25</v>
      </c>
      <c r="L151">
        <f t="shared" si="10"/>
        <v>1376.5499999999993</v>
      </c>
      <c r="M151" s="4">
        <f t="shared" si="11"/>
        <v>23.23291139240505</v>
      </c>
    </row>
    <row r="152" spans="1:13" x14ac:dyDescent="0.3">
      <c r="A152" t="s">
        <v>306</v>
      </c>
      <c r="B152" t="s">
        <v>307</v>
      </c>
      <c r="C152" t="s">
        <v>29</v>
      </c>
      <c r="D152" t="s">
        <v>16</v>
      </c>
      <c r="E152" t="s">
        <v>40</v>
      </c>
      <c r="F152">
        <v>3089</v>
      </c>
      <c r="G152">
        <v>2156.67</v>
      </c>
      <c r="H152">
        <v>9</v>
      </c>
      <c r="I152" s="3">
        <v>0.09</v>
      </c>
      <c r="J152">
        <f t="shared" si="8"/>
        <v>27801</v>
      </c>
      <c r="K152">
        <f t="shared" si="9"/>
        <v>2502.0899999999997</v>
      </c>
      <c r="L152">
        <f t="shared" si="10"/>
        <v>5888.880000000001</v>
      </c>
      <c r="M152" s="4">
        <f t="shared" si="11"/>
        <v>21.182259630948529</v>
      </c>
    </row>
    <row r="153" spans="1:13" x14ac:dyDescent="0.3">
      <c r="A153" t="s">
        <v>308</v>
      </c>
      <c r="B153" t="s">
        <v>253</v>
      </c>
      <c r="C153" t="s">
        <v>20</v>
      </c>
      <c r="D153" t="s">
        <v>30</v>
      </c>
      <c r="E153" t="s">
        <v>31</v>
      </c>
      <c r="F153">
        <v>2494</v>
      </c>
      <c r="G153">
        <v>2115.25</v>
      </c>
      <c r="H153">
        <v>8</v>
      </c>
      <c r="I153" s="3">
        <v>0.21</v>
      </c>
      <c r="J153">
        <f t="shared" si="8"/>
        <v>19952</v>
      </c>
      <c r="K153">
        <f t="shared" si="9"/>
        <v>4189.92</v>
      </c>
      <c r="L153">
        <f t="shared" si="10"/>
        <v>-1159.92</v>
      </c>
      <c r="M153" s="4">
        <f t="shared" si="11"/>
        <v>-5.8135525260625505</v>
      </c>
    </row>
    <row r="154" spans="1:13" x14ac:dyDescent="0.3">
      <c r="A154" t="s">
        <v>309</v>
      </c>
      <c r="B154" t="s">
        <v>221</v>
      </c>
      <c r="C154" t="s">
        <v>15</v>
      </c>
      <c r="D154" t="s">
        <v>21</v>
      </c>
      <c r="E154" t="s">
        <v>22</v>
      </c>
      <c r="F154">
        <v>1155</v>
      </c>
      <c r="G154">
        <v>899.37</v>
      </c>
      <c r="H154">
        <v>3</v>
      </c>
      <c r="I154" s="3">
        <v>0.11</v>
      </c>
      <c r="J154">
        <f t="shared" si="8"/>
        <v>3465</v>
      </c>
      <c r="K154">
        <f t="shared" si="9"/>
        <v>381.15</v>
      </c>
      <c r="L154">
        <f t="shared" si="10"/>
        <v>385.7399999999999</v>
      </c>
      <c r="M154" s="4">
        <f t="shared" si="11"/>
        <v>11.13246753246753</v>
      </c>
    </row>
    <row r="155" spans="1:13" x14ac:dyDescent="0.3">
      <c r="A155" t="s">
        <v>310</v>
      </c>
      <c r="B155" t="s">
        <v>311</v>
      </c>
      <c r="C155" t="s">
        <v>15</v>
      </c>
      <c r="D155" t="s">
        <v>30</v>
      </c>
      <c r="E155" t="s">
        <v>31</v>
      </c>
      <c r="F155">
        <v>1931</v>
      </c>
      <c r="G155">
        <v>1318.13</v>
      </c>
      <c r="H155">
        <v>4</v>
      </c>
      <c r="I155" s="3">
        <v>0.2</v>
      </c>
      <c r="J155">
        <f t="shared" si="8"/>
        <v>7724</v>
      </c>
      <c r="K155">
        <f t="shared" si="9"/>
        <v>1544.8000000000002</v>
      </c>
      <c r="L155">
        <f t="shared" si="10"/>
        <v>906.67999999999938</v>
      </c>
      <c r="M155" s="4">
        <f t="shared" si="11"/>
        <v>11.738477472812006</v>
      </c>
    </row>
    <row r="156" spans="1:13" x14ac:dyDescent="0.3">
      <c r="A156" t="s">
        <v>312</v>
      </c>
      <c r="B156" t="s">
        <v>313</v>
      </c>
      <c r="C156" t="s">
        <v>15</v>
      </c>
      <c r="D156" t="s">
        <v>30</v>
      </c>
      <c r="E156" t="s">
        <v>56</v>
      </c>
      <c r="F156">
        <v>2595</v>
      </c>
      <c r="G156">
        <v>2135.44</v>
      </c>
      <c r="H156">
        <v>1</v>
      </c>
      <c r="I156" s="3">
        <v>0.18</v>
      </c>
      <c r="J156">
        <f t="shared" si="8"/>
        <v>2595</v>
      </c>
      <c r="K156">
        <f t="shared" si="9"/>
        <v>467.09999999999997</v>
      </c>
      <c r="L156">
        <f t="shared" si="10"/>
        <v>-7.5400000000000205</v>
      </c>
      <c r="M156" s="4">
        <f t="shared" si="11"/>
        <v>-0.29055876685934567</v>
      </c>
    </row>
    <row r="157" spans="1:13" x14ac:dyDescent="0.3">
      <c r="A157" t="s">
        <v>314</v>
      </c>
      <c r="B157" t="s">
        <v>125</v>
      </c>
      <c r="C157" t="s">
        <v>15</v>
      </c>
      <c r="D157" t="s">
        <v>16</v>
      </c>
      <c r="E157" t="s">
        <v>26</v>
      </c>
      <c r="F157">
        <v>3327</v>
      </c>
      <c r="G157">
        <v>2087.84</v>
      </c>
      <c r="H157">
        <v>5</v>
      </c>
      <c r="I157" s="3">
        <v>0.08</v>
      </c>
      <c r="J157">
        <f t="shared" si="8"/>
        <v>16635</v>
      </c>
      <c r="K157">
        <f t="shared" si="9"/>
        <v>1330.8</v>
      </c>
      <c r="L157">
        <f t="shared" si="10"/>
        <v>4864.9999999999991</v>
      </c>
      <c r="M157" s="4">
        <f t="shared" si="11"/>
        <v>29.245566576495335</v>
      </c>
    </row>
    <row r="158" spans="1:13" x14ac:dyDescent="0.3">
      <c r="A158" t="s">
        <v>315</v>
      </c>
      <c r="B158" t="s">
        <v>129</v>
      </c>
      <c r="C158" t="s">
        <v>25</v>
      </c>
      <c r="D158" t="s">
        <v>21</v>
      </c>
      <c r="E158" t="s">
        <v>37</v>
      </c>
      <c r="F158">
        <v>1668</v>
      </c>
      <c r="G158">
        <v>984.25</v>
      </c>
      <c r="H158">
        <v>5</v>
      </c>
      <c r="I158" s="3">
        <v>0.28999999999999998</v>
      </c>
      <c r="J158">
        <f t="shared" si="8"/>
        <v>8340</v>
      </c>
      <c r="K158">
        <f t="shared" si="9"/>
        <v>2418.6</v>
      </c>
      <c r="L158">
        <f t="shared" si="10"/>
        <v>1000.1500000000001</v>
      </c>
      <c r="M158" s="4">
        <f t="shared" si="11"/>
        <v>11.992206235011992</v>
      </c>
    </row>
    <row r="159" spans="1:13" x14ac:dyDescent="0.3">
      <c r="A159" t="s">
        <v>316</v>
      </c>
      <c r="B159" t="s">
        <v>122</v>
      </c>
      <c r="C159" t="s">
        <v>25</v>
      </c>
      <c r="D159" t="s">
        <v>16</v>
      </c>
      <c r="E159" t="s">
        <v>85</v>
      </c>
      <c r="F159">
        <v>4927</v>
      </c>
      <c r="G159">
        <v>2732.74</v>
      </c>
      <c r="H159">
        <v>5</v>
      </c>
      <c r="I159" s="3">
        <v>0.36</v>
      </c>
      <c r="J159">
        <f t="shared" si="8"/>
        <v>24635</v>
      </c>
      <c r="K159">
        <f t="shared" si="9"/>
        <v>8868.6</v>
      </c>
      <c r="L159">
        <f t="shared" si="10"/>
        <v>2102.7000000000007</v>
      </c>
      <c r="M159" s="4">
        <f t="shared" si="11"/>
        <v>8.5354170895068027</v>
      </c>
    </row>
    <row r="160" spans="1:13" x14ac:dyDescent="0.3">
      <c r="A160" t="s">
        <v>317</v>
      </c>
      <c r="B160" t="s">
        <v>318</v>
      </c>
      <c r="C160" t="s">
        <v>29</v>
      </c>
      <c r="D160" t="s">
        <v>21</v>
      </c>
      <c r="E160" t="s">
        <v>22</v>
      </c>
      <c r="F160">
        <v>1490</v>
      </c>
      <c r="G160">
        <v>1097.93</v>
      </c>
      <c r="H160">
        <v>7</v>
      </c>
      <c r="I160" s="3">
        <v>0.23</v>
      </c>
      <c r="J160">
        <f t="shared" si="8"/>
        <v>10430</v>
      </c>
      <c r="K160">
        <f t="shared" si="9"/>
        <v>2398.9</v>
      </c>
      <c r="L160">
        <f t="shared" si="10"/>
        <v>345.58999999999969</v>
      </c>
      <c r="M160" s="4">
        <f t="shared" si="11"/>
        <v>3.3134228187919432</v>
      </c>
    </row>
    <row r="161" spans="1:13" x14ac:dyDescent="0.3">
      <c r="A161" t="s">
        <v>319</v>
      </c>
      <c r="B161" t="s">
        <v>107</v>
      </c>
      <c r="C161" t="s">
        <v>29</v>
      </c>
      <c r="D161" t="s">
        <v>21</v>
      </c>
      <c r="E161" t="s">
        <v>47</v>
      </c>
      <c r="F161">
        <v>700</v>
      </c>
      <c r="G161">
        <v>568.83000000000004</v>
      </c>
      <c r="H161">
        <v>7</v>
      </c>
      <c r="I161" s="3">
        <v>0.2</v>
      </c>
      <c r="J161">
        <f t="shared" si="8"/>
        <v>4900</v>
      </c>
      <c r="K161">
        <f t="shared" si="9"/>
        <v>980</v>
      </c>
      <c r="L161">
        <f t="shared" si="10"/>
        <v>-61.8100000000004</v>
      </c>
      <c r="M161" s="4">
        <f t="shared" si="11"/>
        <v>-1.2614285714285796</v>
      </c>
    </row>
    <row r="162" spans="1:13" x14ac:dyDescent="0.3">
      <c r="A162" t="s">
        <v>320</v>
      </c>
      <c r="B162" t="s">
        <v>321</v>
      </c>
      <c r="C162" t="s">
        <v>20</v>
      </c>
      <c r="D162" t="s">
        <v>30</v>
      </c>
      <c r="E162" t="s">
        <v>31</v>
      </c>
      <c r="F162">
        <v>3011</v>
      </c>
      <c r="G162">
        <v>2103.5700000000002</v>
      </c>
      <c r="H162">
        <v>10</v>
      </c>
      <c r="I162" s="3">
        <v>0.14000000000000001</v>
      </c>
      <c r="J162">
        <f t="shared" si="8"/>
        <v>30110</v>
      </c>
      <c r="K162">
        <f t="shared" si="9"/>
        <v>4215.4000000000005</v>
      </c>
      <c r="L162">
        <f t="shared" si="10"/>
        <v>4858.8999999999987</v>
      </c>
      <c r="M162" s="4">
        <f t="shared" si="11"/>
        <v>16.137163732979072</v>
      </c>
    </row>
    <row r="163" spans="1:13" x14ac:dyDescent="0.3">
      <c r="A163" t="s">
        <v>322</v>
      </c>
      <c r="B163" t="s">
        <v>323</v>
      </c>
      <c r="C163" t="s">
        <v>25</v>
      </c>
      <c r="D163" t="s">
        <v>30</v>
      </c>
      <c r="E163" t="s">
        <v>31</v>
      </c>
      <c r="F163">
        <v>2522</v>
      </c>
      <c r="G163">
        <v>1490.1</v>
      </c>
      <c r="H163">
        <v>5</v>
      </c>
      <c r="I163" s="3">
        <v>0.35</v>
      </c>
      <c r="J163">
        <f t="shared" si="8"/>
        <v>12610</v>
      </c>
      <c r="K163">
        <f t="shared" si="9"/>
        <v>4413.5</v>
      </c>
      <c r="L163">
        <f t="shared" si="10"/>
        <v>746</v>
      </c>
      <c r="M163" s="4">
        <f t="shared" si="11"/>
        <v>5.9159397303727195</v>
      </c>
    </row>
    <row r="164" spans="1:13" x14ac:dyDescent="0.3">
      <c r="A164" t="s">
        <v>324</v>
      </c>
      <c r="B164" t="s">
        <v>325</v>
      </c>
      <c r="C164" t="s">
        <v>25</v>
      </c>
      <c r="D164" t="s">
        <v>16</v>
      </c>
      <c r="E164" t="s">
        <v>85</v>
      </c>
      <c r="F164">
        <v>2924</v>
      </c>
      <c r="G164">
        <v>2327.14</v>
      </c>
      <c r="H164">
        <v>8</v>
      </c>
      <c r="I164" s="3">
        <v>0.24</v>
      </c>
      <c r="J164">
        <f t="shared" si="8"/>
        <v>23392</v>
      </c>
      <c r="K164">
        <f t="shared" si="9"/>
        <v>5614.08</v>
      </c>
      <c r="L164">
        <f t="shared" si="10"/>
        <v>-839.19999999999891</v>
      </c>
      <c r="M164" s="4">
        <f t="shared" si="11"/>
        <v>-3.5875512995895988</v>
      </c>
    </row>
    <row r="165" spans="1:13" x14ac:dyDescent="0.3">
      <c r="A165" t="s">
        <v>326</v>
      </c>
      <c r="B165" t="s">
        <v>327</v>
      </c>
      <c r="C165" t="s">
        <v>29</v>
      </c>
      <c r="D165" t="s">
        <v>16</v>
      </c>
      <c r="E165" t="s">
        <v>17</v>
      </c>
      <c r="F165">
        <v>2308</v>
      </c>
      <c r="G165">
        <v>1433.23</v>
      </c>
      <c r="H165">
        <v>5</v>
      </c>
      <c r="I165" s="3">
        <v>0.2</v>
      </c>
      <c r="J165">
        <f t="shared" si="8"/>
        <v>11540</v>
      </c>
      <c r="K165">
        <f t="shared" si="9"/>
        <v>2308</v>
      </c>
      <c r="L165">
        <f t="shared" si="10"/>
        <v>2065.8500000000004</v>
      </c>
      <c r="M165" s="4">
        <f t="shared" si="11"/>
        <v>17.901646447140386</v>
      </c>
    </row>
    <row r="166" spans="1:13" x14ac:dyDescent="0.3">
      <c r="A166" t="s">
        <v>328</v>
      </c>
      <c r="B166" t="s">
        <v>329</v>
      </c>
      <c r="C166" t="s">
        <v>29</v>
      </c>
      <c r="D166" t="s">
        <v>21</v>
      </c>
      <c r="E166" t="s">
        <v>62</v>
      </c>
      <c r="F166">
        <v>1198</v>
      </c>
      <c r="G166">
        <v>782.63</v>
      </c>
      <c r="H166">
        <v>6</v>
      </c>
      <c r="I166" s="3">
        <v>0.14000000000000001</v>
      </c>
      <c r="J166">
        <f t="shared" si="8"/>
        <v>7188</v>
      </c>
      <c r="K166">
        <f t="shared" si="9"/>
        <v>1006.32</v>
      </c>
      <c r="L166">
        <f t="shared" si="10"/>
        <v>1485.9</v>
      </c>
      <c r="M166" s="4">
        <f t="shared" si="11"/>
        <v>20.671953255425709</v>
      </c>
    </row>
    <row r="167" spans="1:13" x14ac:dyDescent="0.3">
      <c r="A167" t="s">
        <v>330</v>
      </c>
      <c r="B167" t="s">
        <v>331</v>
      </c>
      <c r="C167" t="s">
        <v>29</v>
      </c>
      <c r="D167" t="s">
        <v>30</v>
      </c>
      <c r="E167" t="s">
        <v>56</v>
      </c>
      <c r="F167">
        <v>1637</v>
      </c>
      <c r="G167">
        <v>1306.17</v>
      </c>
      <c r="H167">
        <v>9</v>
      </c>
      <c r="I167" s="3">
        <v>0.1</v>
      </c>
      <c r="J167">
        <f t="shared" si="8"/>
        <v>14733</v>
      </c>
      <c r="K167">
        <f t="shared" si="9"/>
        <v>1473.3000000000002</v>
      </c>
      <c r="L167">
        <f t="shared" si="10"/>
        <v>1504.1699999999992</v>
      </c>
      <c r="M167" s="4">
        <f t="shared" si="11"/>
        <v>10.209529627367129</v>
      </c>
    </row>
    <row r="168" spans="1:13" x14ac:dyDescent="0.3">
      <c r="A168" t="s">
        <v>332</v>
      </c>
      <c r="B168" t="s">
        <v>333</v>
      </c>
      <c r="C168" t="s">
        <v>25</v>
      </c>
      <c r="D168" t="s">
        <v>30</v>
      </c>
      <c r="E168" t="s">
        <v>56</v>
      </c>
      <c r="F168">
        <v>3683</v>
      </c>
      <c r="G168">
        <v>2945.99</v>
      </c>
      <c r="H168">
        <v>5</v>
      </c>
      <c r="I168" s="3">
        <v>0.38</v>
      </c>
      <c r="J168">
        <f t="shared" si="8"/>
        <v>18415</v>
      </c>
      <c r="K168">
        <f t="shared" si="9"/>
        <v>6997.7</v>
      </c>
      <c r="L168">
        <f t="shared" si="10"/>
        <v>-3312.6499999999987</v>
      </c>
      <c r="M168" s="4">
        <f t="shared" si="11"/>
        <v>-17.988867770838983</v>
      </c>
    </row>
    <row r="169" spans="1:13" x14ac:dyDescent="0.3">
      <c r="A169" t="s">
        <v>334</v>
      </c>
      <c r="B169" t="s">
        <v>335</v>
      </c>
      <c r="C169" t="s">
        <v>15</v>
      </c>
      <c r="D169" t="s">
        <v>21</v>
      </c>
      <c r="E169" t="s">
        <v>62</v>
      </c>
      <c r="F169">
        <v>1776</v>
      </c>
      <c r="G169">
        <v>1105.21</v>
      </c>
      <c r="H169">
        <v>1</v>
      </c>
      <c r="I169" s="3">
        <v>0.15</v>
      </c>
      <c r="J169">
        <f t="shared" si="8"/>
        <v>1776</v>
      </c>
      <c r="K169">
        <f t="shared" si="9"/>
        <v>266.39999999999998</v>
      </c>
      <c r="L169">
        <f t="shared" si="10"/>
        <v>404.39</v>
      </c>
      <c r="M169" s="4">
        <f t="shared" si="11"/>
        <v>22.769707207207208</v>
      </c>
    </row>
    <row r="170" spans="1:13" x14ac:dyDescent="0.3">
      <c r="A170" t="s">
        <v>336</v>
      </c>
      <c r="B170" t="s">
        <v>337</v>
      </c>
      <c r="C170" t="s">
        <v>25</v>
      </c>
      <c r="D170" t="s">
        <v>30</v>
      </c>
      <c r="E170" t="s">
        <v>31</v>
      </c>
      <c r="F170">
        <v>1903</v>
      </c>
      <c r="G170">
        <v>1329</v>
      </c>
      <c r="H170">
        <v>8</v>
      </c>
      <c r="I170" s="3">
        <v>0.28999999999999998</v>
      </c>
      <c r="J170">
        <f t="shared" si="8"/>
        <v>15224</v>
      </c>
      <c r="K170">
        <f t="shared" si="9"/>
        <v>4414.96</v>
      </c>
      <c r="L170">
        <f t="shared" si="10"/>
        <v>177.03999999999996</v>
      </c>
      <c r="M170" s="4">
        <f t="shared" si="11"/>
        <v>1.1629006831318967</v>
      </c>
    </row>
    <row r="171" spans="1:13" x14ac:dyDescent="0.3">
      <c r="A171" t="s">
        <v>338</v>
      </c>
      <c r="B171" t="s">
        <v>339</v>
      </c>
      <c r="C171" t="s">
        <v>15</v>
      </c>
      <c r="D171" t="s">
        <v>21</v>
      </c>
      <c r="E171" t="s">
        <v>62</v>
      </c>
      <c r="F171">
        <v>797</v>
      </c>
      <c r="G171">
        <v>646.87</v>
      </c>
      <c r="H171">
        <v>4</v>
      </c>
      <c r="I171" s="3">
        <v>0.18</v>
      </c>
      <c r="J171">
        <f t="shared" si="8"/>
        <v>3188</v>
      </c>
      <c r="K171">
        <f t="shared" si="9"/>
        <v>573.84</v>
      </c>
      <c r="L171">
        <f t="shared" si="10"/>
        <v>26.67999999999995</v>
      </c>
      <c r="M171" s="4">
        <f t="shared" si="11"/>
        <v>0.83688833124215645</v>
      </c>
    </row>
    <row r="172" spans="1:13" x14ac:dyDescent="0.3">
      <c r="A172" t="s">
        <v>340</v>
      </c>
      <c r="B172" t="s">
        <v>260</v>
      </c>
      <c r="C172" t="s">
        <v>15</v>
      </c>
      <c r="D172" t="s">
        <v>21</v>
      </c>
      <c r="E172" t="s">
        <v>62</v>
      </c>
      <c r="F172">
        <v>778</v>
      </c>
      <c r="G172">
        <v>558.5</v>
      </c>
      <c r="H172">
        <v>3</v>
      </c>
      <c r="I172" s="3">
        <v>0.19</v>
      </c>
      <c r="J172">
        <f t="shared" si="8"/>
        <v>2334</v>
      </c>
      <c r="K172">
        <f t="shared" si="9"/>
        <v>443.46</v>
      </c>
      <c r="L172">
        <f t="shared" si="10"/>
        <v>215.04000000000002</v>
      </c>
      <c r="M172" s="4">
        <f t="shared" si="11"/>
        <v>9.2133676092544992</v>
      </c>
    </row>
    <row r="173" spans="1:13" x14ac:dyDescent="0.3">
      <c r="A173" t="s">
        <v>341</v>
      </c>
      <c r="B173" t="s">
        <v>342</v>
      </c>
      <c r="C173" t="s">
        <v>20</v>
      </c>
      <c r="D173" t="s">
        <v>30</v>
      </c>
      <c r="E173" t="s">
        <v>59</v>
      </c>
      <c r="F173">
        <v>3298</v>
      </c>
      <c r="G173">
        <v>2001.38</v>
      </c>
      <c r="H173">
        <v>6</v>
      </c>
      <c r="I173" s="3">
        <v>0.01</v>
      </c>
      <c r="J173">
        <f t="shared" si="8"/>
        <v>19788</v>
      </c>
      <c r="K173">
        <f t="shared" si="9"/>
        <v>197.88</v>
      </c>
      <c r="L173">
        <f t="shared" si="10"/>
        <v>7581.8399999999992</v>
      </c>
      <c r="M173" s="4">
        <f t="shared" si="11"/>
        <v>38.315342631898112</v>
      </c>
    </row>
    <row r="174" spans="1:13" x14ac:dyDescent="0.3">
      <c r="A174" t="s">
        <v>343</v>
      </c>
      <c r="B174" t="s">
        <v>145</v>
      </c>
      <c r="C174" t="s">
        <v>20</v>
      </c>
      <c r="D174" t="s">
        <v>16</v>
      </c>
      <c r="E174" t="s">
        <v>85</v>
      </c>
      <c r="F174">
        <v>5017</v>
      </c>
      <c r="G174">
        <v>3536</v>
      </c>
      <c r="H174">
        <v>1</v>
      </c>
      <c r="I174" s="3">
        <v>0.12</v>
      </c>
      <c r="J174">
        <f t="shared" si="8"/>
        <v>5017</v>
      </c>
      <c r="K174">
        <f t="shared" si="9"/>
        <v>602.04</v>
      </c>
      <c r="L174">
        <f t="shared" si="10"/>
        <v>878.96</v>
      </c>
      <c r="M174" s="4">
        <f t="shared" si="11"/>
        <v>17.519633246960336</v>
      </c>
    </row>
    <row r="175" spans="1:13" x14ac:dyDescent="0.3">
      <c r="A175" t="s">
        <v>344</v>
      </c>
      <c r="B175" t="s">
        <v>345</v>
      </c>
      <c r="C175" t="s">
        <v>15</v>
      </c>
      <c r="D175" t="s">
        <v>16</v>
      </c>
      <c r="E175" t="s">
        <v>17</v>
      </c>
      <c r="F175">
        <v>2653</v>
      </c>
      <c r="G175">
        <v>1894.63</v>
      </c>
      <c r="H175">
        <v>8</v>
      </c>
      <c r="I175" s="3">
        <v>0.04</v>
      </c>
      <c r="J175">
        <f t="shared" si="8"/>
        <v>21224</v>
      </c>
      <c r="K175">
        <f t="shared" si="9"/>
        <v>848.96</v>
      </c>
      <c r="L175">
        <f t="shared" si="10"/>
        <v>5217.9999999999991</v>
      </c>
      <c r="M175" s="4">
        <f t="shared" si="11"/>
        <v>24.585375047116468</v>
      </c>
    </row>
    <row r="176" spans="1:13" x14ac:dyDescent="0.3">
      <c r="A176" t="s">
        <v>346</v>
      </c>
      <c r="B176" t="s">
        <v>323</v>
      </c>
      <c r="C176" t="s">
        <v>20</v>
      </c>
      <c r="D176" t="s">
        <v>30</v>
      </c>
      <c r="E176" t="s">
        <v>31</v>
      </c>
      <c r="F176">
        <v>3598</v>
      </c>
      <c r="G176">
        <v>2600.21</v>
      </c>
      <c r="H176">
        <v>8</v>
      </c>
      <c r="I176" s="3">
        <v>0.22</v>
      </c>
      <c r="J176">
        <f t="shared" si="8"/>
        <v>28784</v>
      </c>
      <c r="K176">
        <f t="shared" si="9"/>
        <v>6332.4800000000005</v>
      </c>
      <c r="L176">
        <f t="shared" si="10"/>
        <v>1649.8399999999992</v>
      </c>
      <c r="M176" s="4">
        <f t="shared" si="11"/>
        <v>5.7317954419121708</v>
      </c>
    </row>
    <row r="177" spans="1:13" x14ac:dyDescent="0.3">
      <c r="A177" t="s">
        <v>347</v>
      </c>
      <c r="B177" t="s">
        <v>207</v>
      </c>
      <c r="C177" t="s">
        <v>25</v>
      </c>
      <c r="D177" t="s">
        <v>30</v>
      </c>
      <c r="E177" t="s">
        <v>31</v>
      </c>
      <c r="F177">
        <v>1690</v>
      </c>
      <c r="G177">
        <v>1237.99</v>
      </c>
      <c r="H177">
        <v>4</v>
      </c>
      <c r="I177" s="3">
        <v>0.22</v>
      </c>
      <c r="J177">
        <f t="shared" si="8"/>
        <v>6760</v>
      </c>
      <c r="K177">
        <f t="shared" si="9"/>
        <v>1487.2</v>
      </c>
      <c r="L177">
        <f t="shared" si="10"/>
        <v>320.83999999999992</v>
      </c>
      <c r="M177" s="4">
        <f t="shared" si="11"/>
        <v>4.7461538461538453</v>
      </c>
    </row>
    <row r="178" spans="1:13" x14ac:dyDescent="0.3">
      <c r="A178" t="s">
        <v>348</v>
      </c>
      <c r="B178" t="s">
        <v>349</v>
      </c>
      <c r="C178" t="s">
        <v>15</v>
      </c>
      <c r="D178" t="s">
        <v>21</v>
      </c>
      <c r="E178" t="s">
        <v>22</v>
      </c>
      <c r="F178">
        <v>1354</v>
      </c>
      <c r="G178">
        <v>969.52</v>
      </c>
      <c r="H178">
        <v>8</v>
      </c>
      <c r="I178" s="3">
        <v>0.08</v>
      </c>
      <c r="J178">
        <f t="shared" si="8"/>
        <v>10832</v>
      </c>
      <c r="K178">
        <f t="shared" si="9"/>
        <v>866.56000000000006</v>
      </c>
      <c r="L178">
        <f t="shared" si="10"/>
        <v>2209.2800000000002</v>
      </c>
      <c r="M178" s="4">
        <f t="shared" si="11"/>
        <v>20.395864106351553</v>
      </c>
    </row>
    <row r="179" spans="1:13" x14ac:dyDescent="0.3">
      <c r="A179" t="s">
        <v>350</v>
      </c>
      <c r="B179" t="s">
        <v>256</v>
      </c>
      <c r="C179" t="s">
        <v>25</v>
      </c>
      <c r="D179" t="s">
        <v>21</v>
      </c>
      <c r="E179" t="s">
        <v>22</v>
      </c>
      <c r="F179">
        <v>1955</v>
      </c>
      <c r="G179">
        <v>1289.92</v>
      </c>
      <c r="H179">
        <v>6</v>
      </c>
      <c r="I179" s="3">
        <v>0.31</v>
      </c>
      <c r="J179">
        <f t="shared" si="8"/>
        <v>11730</v>
      </c>
      <c r="K179">
        <f t="shared" si="9"/>
        <v>3636.3</v>
      </c>
      <c r="L179">
        <f t="shared" si="10"/>
        <v>354.17999999999938</v>
      </c>
      <c r="M179" s="4">
        <f t="shared" si="11"/>
        <v>3.0194373401534476</v>
      </c>
    </row>
    <row r="180" spans="1:13" x14ac:dyDescent="0.3">
      <c r="A180" t="s">
        <v>351</v>
      </c>
      <c r="B180" t="s">
        <v>253</v>
      </c>
      <c r="C180" t="s">
        <v>25</v>
      </c>
      <c r="D180" t="s">
        <v>16</v>
      </c>
      <c r="E180" t="s">
        <v>85</v>
      </c>
      <c r="F180">
        <v>4331</v>
      </c>
      <c r="G180">
        <v>2503.61</v>
      </c>
      <c r="H180">
        <v>5</v>
      </c>
      <c r="I180" s="3">
        <v>0.28999999999999998</v>
      </c>
      <c r="J180">
        <f t="shared" si="8"/>
        <v>21655</v>
      </c>
      <c r="K180">
        <f t="shared" si="9"/>
        <v>6279.95</v>
      </c>
      <c r="L180">
        <f t="shared" si="10"/>
        <v>2856.9999999999991</v>
      </c>
      <c r="M180" s="4">
        <f t="shared" si="11"/>
        <v>13.193257908104361</v>
      </c>
    </row>
    <row r="181" spans="1:13" x14ac:dyDescent="0.3">
      <c r="A181" t="s">
        <v>352</v>
      </c>
      <c r="B181" t="s">
        <v>353</v>
      </c>
      <c r="C181" t="s">
        <v>29</v>
      </c>
      <c r="D181" t="s">
        <v>16</v>
      </c>
      <c r="E181" t="s">
        <v>40</v>
      </c>
      <c r="F181">
        <v>4199</v>
      </c>
      <c r="G181">
        <v>2652.11</v>
      </c>
      <c r="H181">
        <v>3</v>
      </c>
      <c r="I181" s="3">
        <v>0.04</v>
      </c>
      <c r="J181">
        <f t="shared" si="8"/>
        <v>12597</v>
      </c>
      <c r="K181">
        <f t="shared" si="9"/>
        <v>503.88</v>
      </c>
      <c r="L181">
        <f t="shared" si="10"/>
        <v>4136.79</v>
      </c>
      <c r="M181" s="4">
        <f t="shared" si="11"/>
        <v>32.839485591807573</v>
      </c>
    </row>
    <row r="182" spans="1:13" x14ac:dyDescent="0.3">
      <c r="A182" t="s">
        <v>354</v>
      </c>
      <c r="B182" t="s">
        <v>215</v>
      </c>
      <c r="C182" t="s">
        <v>15</v>
      </c>
      <c r="D182" t="s">
        <v>30</v>
      </c>
      <c r="E182" t="s">
        <v>59</v>
      </c>
      <c r="F182">
        <v>1606</v>
      </c>
      <c r="G182">
        <v>1063.6199999999999</v>
      </c>
      <c r="H182">
        <v>5</v>
      </c>
      <c r="I182" s="3">
        <v>0.1</v>
      </c>
      <c r="J182">
        <f t="shared" si="8"/>
        <v>8030</v>
      </c>
      <c r="K182">
        <f t="shared" si="9"/>
        <v>803</v>
      </c>
      <c r="L182">
        <f t="shared" si="10"/>
        <v>1908.9000000000005</v>
      </c>
      <c r="M182" s="4">
        <f t="shared" si="11"/>
        <v>23.772104607721054</v>
      </c>
    </row>
    <row r="183" spans="1:13" x14ac:dyDescent="0.3">
      <c r="A183" t="s">
        <v>355</v>
      </c>
      <c r="B183" t="s">
        <v>356</v>
      </c>
      <c r="C183" t="s">
        <v>15</v>
      </c>
      <c r="D183" t="s">
        <v>30</v>
      </c>
      <c r="E183" t="s">
        <v>31</v>
      </c>
      <c r="F183">
        <v>3372</v>
      </c>
      <c r="G183">
        <v>2600.9699999999998</v>
      </c>
      <c r="H183">
        <v>10</v>
      </c>
      <c r="I183" s="3">
        <v>0.23</v>
      </c>
      <c r="J183">
        <f t="shared" si="8"/>
        <v>33720</v>
      </c>
      <c r="K183">
        <f t="shared" si="9"/>
        <v>7755.6</v>
      </c>
      <c r="L183">
        <f t="shared" si="10"/>
        <v>-45.299999999997453</v>
      </c>
      <c r="M183" s="4">
        <f t="shared" si="11"/>
        <v>-0.13434163701066859</v>
      </c>
    </row>
    <row r="184" spans="1:13" x14ac:dyDescent="0.3">
      <c r="A184" t="s">
        <v>357</v>
      </c>
      <c r="B184" t="s">
        <v>70</v>
      </c>
      <c r="C184" t="s">
        <v>20</v>
      </c>
      <c r="D184" t="s">
        <v>30</v>
      </c>
      <c r="E184" t="s">
        <v>34</v>
      </c>
      <c r="F184">
        <v>1937</v>
      </c>
      <c r="G184">
        <v>1379.23</v>
      </c>
      <c r="H184">
        <v>5</v>
      </c>
      <c r="I184" s="3">
        <v>0.11</v>
      </c>
      <c r="J184">
        <f t="shared" si="8"/>
        <v>9685</v>
      </c>
      <c r="K184">
        <f t="shared" si="9"/>
        <v>1065.3499999999999</v>
      </c>
      <c r="L184">
        <f t="shared" si="10"/>
        <v>1723.5000000000005</v>
      </c>
      <c r="M184" s="4">
        <f t="shared" si="11"/>
        <v>17.795560144553438</v>
      </c>
    </row>
    <row r="185" spans="1:13" x14ac:dyDescent="0.3">
      <c r="A185" t="s">
        <v>358</v>
      </c>
      <c r="B185" t="s">
        <v>359</v>
      </c>
      <c r="C185" t="s">
        <v>25</v>
      </c>
      <c r="D185" t="s">
        <v>21</v>
      </c>
      <c r="E185" t="s">
        <v>37</v>
      </c>
      <c r="F185">
        <v>803</v>
      </c>
      <c r="G185">
        <v>535.97</v>
      </c>
      <c r="H185">
        <v>9</v>
      </c>
      <c r="I185" s="3">
        <v>0.24</v>
      </c>
      <c r="J185">
        <f t="shared" si="8"/>
        <v>7227</v>
      </c>
      <c r="K185">
        <f t="shared" si="9"/>
        <v>1734.48</v>
      </c>
      <c r="L185">
        <f t="shared" si="10"/>
        <v>668.78999999999951</v>
      </c>
      <c r="M185" s="4">
        <f t="shared" si="11"/>
        <v>9.2540473225404671</v>
      </c>
    </row>
    <row r="186" spans="1:13" x14ac:dyDescent="0.3">
      <c r="A186" t="s">
        <v>360</v>
      </c>
      <c r="B186" t="s">
        <v>361</v>
      </c>
      <c r="C186" t="s">
        <v>25</v>
      </c>
      <c r="D186" t="s">
        <v>16</v>
      </c>
      <c r="E186" t="s">
        <v>17</v>
      </c>
      <c r="F186">
        <v>3050</v>
      </c>
      <c r="G186">
        <v>2265.9699999999998</v>
      </c>
      <c r="H186">
        <v>4</v>
      </c>
      <c r="I186" s="3">
        <v>0.32</v>
      </c>
      <c r="J186">
        <f t="shared" si="8"/>
        <v>12200</v>
      </c>
      <c r="K186">
        <f t="shared" si="9"/>
        <v>3904</v>
      </c>
      <c r="L186">
        <f t="shared" si="10"/>
        <v>-767.8799999999992</v>
      </c>
      <c r="M186" s="4">
        <f t="shared" si="11"/>
        <v>-6.294098360655731</v>
      </c>
    </row>
    <row r="187" spans="1:13" x14ac:dyDescent="0.3">
      <c r="A187" t="s">
        <v>362</v>
      </c>
      <c r="B187" t="s">
        <v>95</v>
      </c>
      <c r="C187" t="s">
        <v>20</v>
      </c>
      <c r="D187" t="s">
        <v>30</v>
      </c>
      <c r="E187" t="s">
        <v>34</v>
      </c>
      <c r="F187">
        <v>1631</v>
      </c>
      <c r="G187">
        <v>1307.7</v>
      </c>
      <c r="H187">
        <v>5</v>
      </c>
      <c r="I187" s="3">
        <v>0.1</v>
      </c>
      <c r="J187">
        <f t="shared" si="8"/>
        <v>8155</v>
      </c>
      <c r="K187">
        <f t="shared" si="9"/>
        <v>815.5</v>
      </c>
      <c r="L187">
        <f t="shared" si="10"/>
        <v>801</v>
      </c>
      <c r="M187" s="4">
        <f t="shared" si="11"/>
        <v>9.8221949724095641</v>
      </c>
    </row>
    <row r="188" spans="1:13" x14ac:dyDescent="0.3">
      <c r="A188" t="s">
        <v>363</v>
      </c>
      <c r="B188" t="s">
        <v>364</v>
      </c>
      <c r="C188" t="s">
        <v>29</v>
      </c>
      <c r="D188" t="s">
        <v>21</v>
      </c>
      <c r="E188" t="s">
        <v>47</v>
      </c>
      <c r="F188">
        <v>1276</v>
      </c>
      <c r="G188">
        <v>930.39</v>
      </c>
      <c r="H188">
        <v>8</v>
      </c>
      <c r="I188" s="3">
        <v>0.21</v>
      </c>
      <c r="J188">
        <f t="shared" si="8"/>
        <v>10208</v>
      </c>
      <c r="K188">
        <f t="shared" si="9"/>
        <v>2143.6799999999998</v>
      </c>
      <c r="L188">
        <f t="shared" si="10"/>
        <v>621.20000000000027</v>
      </c>
      <c r="M188" s="4">
        <f t="shared" si="11"/>
        <v>6.0854231974921662</v>
      </c>
    </row>
    <row r="189" spans="1:13" x14ac:dyDescent="0.3">
      <c r="A189" t="s">
        <v>365</v>
      </c>
      <c r="B189" t="s">
        <v>366</v>
      </c>
      <c r="C189" t="s">
        <v>29</v>
      </c>
      <c r="D189" t="s">
        <v>16</v>
      </c>
      <c r="E189" t="s">
        <v>40</v>
      </c>
      <c r="F189">
        <v>4119</v>
      </c>
      <c r="G189">
        <v>3181.53</v>
      </c>
      <c r="H189">
        <v>9</v>
      </c>
      <c r="I189" s="3">
        <v>0.19</v>
      </c>
      <c r="J189">
        <f t="shared" si="8"/>
        <v>37071</v>
      </c>
      <c r="K189">
        <f t="shared" si="9"/>
        <v>7043.49</v>
      </c>
      <c r="L189">
        <f t="shared" si="10"/>
        <v>1393.7399999999998</v>
      </c>
      <c r="M189" s="4">
        <f t="shared" si="11"/>
        <v>3.7596504005826654</v>
      </c>
    </row>
    <row r="190" spans="1:13" x14ac:dyDescent="0.3">
      <c r="A190" t="s">
        <v>367</v>
      </c>
      <c r="B190" t="s">
        <v>307</v>
      </c>
      <c r="C190" t="s">
        <v>15</v>
      </c>
      <c r="D190" t="s">
        <v>16</v>
      </c>
      <c r="E190" t="s">
        <v>26</v>
      </c>
      <c r="F190">
        <v>3349</v>
      </c>
      <c r="G190">
        <v>2694.42</v>
      </c>
      <c r="H190">
        <v>2</v>
      </c>
      <c r="I190" s="3">
        <v>0.24</v>
      </c>
      <c r="J190">
        <f t="shared" si="8"/>
        <v>6698</v>
      </c>
      <c r="K190">
        <f t="shared" si="9"/>
        <v>1607.52</v>
      </c>
      <c r="L190">
        <f t="shared" si="10"/>
        <v>-298.36000000000013</v>
      </c>
      <c r="M190" s="4">
        <f t="shared" si="11"/>
        <v>-4.4544640191101843</v>
      </c>
    </row>
    <row r="191" spans="1:13" x14ac:dyDescent="0.3">
      <c r="A191" t="s">
        <v>368</v>
      </c>
      <c r="B191" t="s">
        <v>369</v>
      </c>
      <c r="C191" t="s">
        <v>25</v>
      </c>
      <c r="D191" t="s">
        <v>30</v>
      </c>
      <c r="E191" t="s">
        <v>56</v>
      </c>
      <c r="F191">
        <v>3338</v>
      </c>
      <c r="G191">
        <v>2193.3000000000002</v>
      </c>
      <c r="H191">
        <v>10</v>
      </c>
      <c r="I191" s="3">
        <v>0.24</v>
      </c>
      <c r="J191">
        <f t="shared" si="8"/>
        <v>33380</v>
      </c>
      <c r="K191">
        <f t="shared" si="9"/>
        <v>8011.2</v>
      </c>
      <c r="L191">
        <f t="shared" si="10"/>
        <v>3435.8</v>
      </c>
      <c r="M191" s="4">
        <f t="shared" si="11"/>
        <v>10.292989814260038</v>
      </c>
    </row>
    <row r="192" spans="1:13" x14ac:dyDescent="0.3">
      <c r="A192" t="s">
        <v>370</v>
      </c>
      <c r="B192" t="s">
        <v>371</v>
      </c>
      <c r="C192" t="s">
        <v>15</v>
      </c>
      <c r="D192" t="s">
        <v>30</v>
      </c>
      <c r="E192" t="s">
        <v>59</v>
      </c>
      <c r="F192">
        <v>2186</v>
      </c>
      <c r="G192">
        <v>1501.66</v>
      </c>
      <c r="H192">
        <v>8</v>
      </c>
      <c r="I192" s="3">
        <v>0.01</v>
      </c>
      <c r="J192">
        <f t="shared" si="8"/>
        <v>17488</v>
      </c>
      <c r="K192">
        <f t="shared" si="9"/>
        <v>174.88</v>
      </c>
      <c r="L192">
        <f t="shared" si="10"/>
        <v>5299.8399999999992</v>
      </c>
      <c r="M192" s="4">
        <f t="shared" si="11"/>
        <v>30.305580969807867</v>
      </c>
    </row>
    <row r="193" spans="1:13" x14ac:dyDescent="0.3">
      <c r="A193" t="s">
        <v>372</v>
      </c>
      <c r="B193" t="s">
        <v>373</v>
      </c>
      <c r="C193" t="s">
        <v>25</v>
      </c>
      <c r="D193" t="s">
        <v>16</v>
      </c>
      <c r="E193" t="s">
        <v>26</v>
      </c>
      <c r="F193">
        <v>2807</v>
      </c>
      <c r="G193">
        <v>2357.71</v>
      </c>
      <c r="H193">
        <v>9</v>
      </c>
      <c r="I193" s="3">
        <v>0.36</v>
      </c>
      <c r="J193">
        <f t="shared" si="8"/>
        <v>25263</v>
      </c>
      <c r="K193">
        <f t="shared" si="9"/>
        <v>9094.68</v>
      </c>
      <c r="L193">
        <f t="shared" si="10"/>
        <v>-5051.07</v>
      </c>
      <c r="M193" s="4">
        <f t="shared" si="11"/>
        <v>-19.993943712148198</v>
      </c>
    </row>
    <row r="194" spans="1:13" x14ac:dyDescent="0.3">
      <c r="A194" t="s">
        <v>374</v>
      </c>
      <c r="B194" t="s">
        <v>375</v>
      </c>
      <c r="C194" t="s">
        <v>29</v>
      </c>
      <c r="D194" t="s">
        <v>30</v>
      </c>
      <c r="E194" t="s">
        <v>34</v>
      </c>
      <c r="F194">
        <v>3750</v>
      </c>
      <c r="G194">
        <v>2367.13</v>
      </c>
      <c r="H194">
        <v>1</v>
      </c>
      <c r="I194" s="3">
        <v>0.12</v>
      </c>
      <c r="J194">
        <f t="shared" ref="J194:J257" si="12">F194*H194</f>
        <v>3750</v>
      </c>
      <c r="K194">
        <f t="shared" ref="K194:K257" si="13">J194*I194</f>
        <v>450</v>
      </c>
      <c r="L194">
        <f t="shared" ref="L194:L257" si="14">J194-(G194*H194)-K194</f>
        <v>932.86999999999989</v>
      </c>
      <c r="M194" s="4">
        <f t="shared" ref="M194:M257" si="15">(L194/J194)*100</f>
        <v>24.876533333333331</v>
      </c>
    </row>
    <row r="195" spans="1:13" x14ac:dyDescent="0.3">
      <c r="A195" t="s">
        <v>376</v>
      </c>
      <c r="B195" t="s">
        <v>377</v>
      </c>
      <c r="C195" t="s">
        <v>25</v>
      </c>
      <c r="D195" t="s">
        <v>30</v>
      </c>
      <c r="E195" t="s">
        <v>59</v>
      </c>
      <c r="F195">
        <v>3456</v>
      </c>
      <c r="G195">
        <v>2246.59</v>
      </c>
      <c r="H195">
        <v>6</v>
      </c>
      <c r="I195" s="3">
        <v>0.4</v>
      </c>
      <c r="J195">
        <f t="shared" si="12"/>
        <v>20736</v>
      </c>
      <c r="K195">
        <f t="shared" si="13"/>
        <v>8294.4</v>
      </c>
      <c r="L195">
        <f t="shared" si="14"/>
        <v>-1037.9400000000005</v>
      </c>
      <c r="M195" s="4">
        <f t="shared" si="15"/>
        <v>-5.0054976851851878</v>
      </c>
    </row>
    <row r="196" spans="1:13" x14ac:dyDescent="0.3">
      <c r="A196" t="s">
        <v>378</v>
      </c>
      <c r="B196" t="s">
        <v>78</v>
      </c>
      <c r="C196" t="s">
        <v>15</v>
      </c>
      <c r="D196" t="s">
        <v>16</v>
      </c>
      <c r="E196" t="s">
        <v>85</v>
      </c>
      <c r="F196">
        <v>5416</v>
      </c>
      <c r="G196">
        <v>3185.29</v>
      </c>
      <c r="H196">
        <v>9</v>
      </c>
      <c r="I196" s="3">
        <v>0.19</v>
      </c>
      <c r="J196">
        <f t="shared" si="12"/>
        <v>48744</v>
      </c>
      <c r="K196">
        <f t="shared" si="13"/>
        <v>9261.36</v>
      </c>
      <c r="L196">
        <f t="shared" si="14"/>
        <v>10815.029999999999</v>
      </c>
      <c r="M196" s="4">
        <f t="shared" si="15"/>
        <v>22.187407680945345</v>
      </c>
    </row>
    <row r="197" spans="1:13" x14ac:dyDescent="0.3">
      <c r="A197" t="s">
        <v>379</v>
      </c>
      <c r="B197" t="s">
        <v>380</v>
      </c>
      <c r="C197" t="s">
        <v>20</v>
      </c>
      <c r="D197" t="s">
        <v>16</v>
      </c>
      <c r="E197" t="s">
        <v>17</v>
      </c>
      <c r="F197">
        <v>4416</v>
      </c>
      <c r="G197">
        <v>2516.09</v>
      </c>
      <c r="H197">
        <v>2</v>
      </c>
      <c r="I197" s="3">
        <v>0.03</v>
      </c>
      <c r="J197">
        <f t="shared" si="12"/>
        <v>8832</v>
      </c>
      <c r="K197">
        <f t="shared" si="13"/>
        <v>264.95999999999998</v>
      </c>
      <c r="L197">
        <f t="shared" si="14"/>
        <v>3534.8599999999997</v>
      </c>
      <c r="M197" s="4">
        <f t="shared" si="15"/>
        <v>40.023324275362313</v>
      </c>
    </row>
    <row r="198" spans="1:13" x14ac:dyDescent="0.3">
      <c r="A198" t="s">
        <v>381</v>
      </c>
      <c r="B198" t="s">
        <v>382</v>
      </c>
      <c r="C198" t="s">
        <v>15</v>
      </c>
      <c r="D198" t="s">
        <v>16</v>
      </c>
      <c r="E198" t="s">
        <v>40</v>
      </c>
      <c r="F198">
        <v>3997</v>
      </c>
      <c r="G198">
        <v>2888.44</v>
      </c>
      <c r="H198">
        <v>8</v>
      </c>
      <c r="I198" s="3">
        <v>0.02</v>
      </c>
      <c r="J198">
        <f t="shared" si="12"/>
        <v>31976</v>
      </c>
      <c r="K198">
        <f t="shared" si="13"/>
        <v>639.52</v>
      </c>
      <c r="L198">
        <f t="shared" si="14"/>
        <v>8228.9599999999991</v>
      </c>
      <c r="M198" s="4">
        <f t="shared" si="15"/>
        <v>25.734801100825617</v>
      </c>
    </row>
    <row r="199" spans="1:13" x14ac:dyDescent="0.3">
      <c r="A199" t="s">
        <v>383</v>
      </c>
      <c r="B199" t="s">
        <v>303</v>
      </c>
      <c r="C199" t="s">
        <v>15</v>
      </c>
      <c r="D199" t="s">
        <v>21</v>
      </c>
      <c r="E199" t="s">
        <v>37</v>
      </c>
      <c r="F199">
        <v>627</v>
      </c>
      <c r="G199">
        <v>450.53</v>
      </c>
      <c r="H199">
        <v>1</v>
      </c>
      <c r="I199" s="3">
        <v>0.23</v>
      </c>
      <c r="J199">
        <f t="shared" si="12"/>
        <v>627</v>
      </c>
      <c r="K199">
        <f t="shared" si="13"/>
        <v>144.21</v>
      </c>
      <c r="L199">
        <f t="shared" si="14"/>
        <v>32.260000000000019</v>
      </c>
      <c r="M199" s="4">
        <f t="shared" si="15"/>
        <v>5.145135566188201</v>
      </c>
    </row>
    <row r="200" spans="1:13" x14ac:dyDescent="0.3">
      <c r="A200" t="s">
        <v>384</v>
      </c>
      <c r="B200" t="s">
        <v>385</v>
      </c>
      <c r="C200" t="s">
        <v>20</v>
      </c>
      <c r="D200" t="s">
        <v>21</v>
      </c>
      <c r="E200" t="s">
        <v>47</v>
      </c>
      <c r="F200">
        <v>733</v>
      </c>
      <c r="G200">
        <v>484.48</v>
      </c>
      <c r="H200">
        <v>3</v>
      </c>
      <c r="I200" s="3">
        <v>0.25</v>
      </c>
      <c r="J200">
        <f t="shared" si="12"/>
        <v>2199</v>
      </c>
      <c r="K200">
        <f t="shared" si="13"/>
        <v>549.75</v>
      </c>
      <c r="L200">
        <f t="shared" si="14"/>
        <v>195.80999999999995</v>
      </c>
      <c r="M200" s="4">
        <f t="shared" si="15"/>
        <v>8.9045020463847191</v>
      </c>
    </row>
    <row r="201" spans="1:13" x14ac:dyDescent="0.3">
      <c r="A201" t="s">
        <v>386</v>
      </c>
      <c r="B201" t="s">
        <v>51</v>
      </c>
      <c r="C201" t="s">
        <v>29</v>
      </c>
      <c r="D201" t="s">
        <v>16</v>
      </c>
      <c r="E201" t="s">
        <v>26</v>
      </c>
      <c r="F201">
        <v>4789</v>
      </c>
      <c r="G201">
        <v>3403.63</v>
      </c>
      <c r="H201">
        <v>5</v>
      </c>
      <c r="I201" s="3">
        <v>0.24</v>
      </c>
      <c r="J201">
        <f t="shared" si="12"/>
        <v>23945</v>
      </c>
      <c r="K201">
        <f t="shared" si="13"/>
        <v>5746.8</v>
      </c>
      <c r="L201">
        <f t="shared" si="14"/>
        <v>1180.0499999999984</v>
      </c>
      <c r="M201" s="4">
        <f t="shared" si="15"/>
        <v>4.9281687199832884</v>
      </c>
    </row>
    <row r="202" spans="1:13" x14ac:dyDescent="0.3">
      <c r="A202" t="s">
        <v>387</v>
      </c>
      <c r="B202" t="s">
        <v>388</v>
      </c>
      <c r="C202" t="s">
        <v>20</v>
      </c>
      <c r="D202" t="s">
        <v>21</v>
      </c>
      <c r="E202" t="s">
        <v>37</v>
      </c>
      <c r="F202">
        <v>557</v>
      </c>
      <c r="G202">
        <v>470.1</v>
      </c>
      <c r="H202">
        <v>6</v>
      </c>
      <c r="I202" s="3">
        <v>0.2</v>
      </c>
      <c r="J202">
        <f t="shared" si="12"/>
        <v>3342</v>
      </c>
      <c r="K202">
        <f t="shared" si="13"/>
        <v>668.40000000000009</v>
      </c>
      <c r="L202">
        <f t="shared" si="14"/>
        <v>-147.00000000000045</v>
      </c>
      <c r="M202" s="4">
        <f t="shared" si="15"/>
        <v>-4.3985637342908577</v>
      </c>
    </row>
    <row r="203" spans="1:13" x14ac:dyDescent="0.3">
      <c r="A203" t="s">
        <v>389</v>
      </c>
      <c r="B203" t="s">
        <v>390</v>
      </c>
      <c r="C203" t="s">
        <v>25</v>
      </c>
      <c r="D203" t="s">
        <v>30</v>
      </c>
      <c r="E203" t="s">
        <v>59</v>
      </c>
      <c r="F203">
        <v>2018</v>
      </c>
      <c r="G203">
        <v>1130.4000000000001</v>
      </c>
      <c r="H203">
        <v>8</v>
      </c>
      <c r="I203" s="3">
        <v>0.36</v>
      </c>
      <c r="J203">
        <f t="shared" si="12"/>
        <v>16144</v>
      </c>
      <c r="K203">
        <f t="shared" si="13"/>
        <v>5811.84</v>
      </c>
      <c r="L203">
        <f t="shared" si="14"/>
        <v>1288.9599999999991</v>
      </c>
      <c r="M203" s="4">
        <f t="shared" si="15"/>
        <v>7.9841427155599556</v>
      </c>
    </row>
    <row r="204" spans="1:13" x14ac:dyDescent="0.3">
      <c r="A204" t="s">
        <v>391</v>
      </c>
      <c r="B204" t="s">
        <v>392</v>
      </c>
      <c r="C204" t="s">
        <v>15</v>
      </c>
      <c r="D204" t="s">
        <v>30</v>
      </c>
      <c r="E204" t="s">
        <v>59</v>
      </c>
      <c r="F204">
        <v>2628</v>
      </c>
      <c r="G204">
        <v>1554.5</v>
      </c>
      <c r="H204">
        <v>10</v>
      </c>
      <c r="I204" s="3">
        <v>0.04</v>
      </c>
      <c r="J204">
        <f t="shared" si="12"/>
        <v>26280</v>
      </c>
      <c r="K204">
        <f t="shared" si="13"/>
        <v>1051.2</v>
      </c>
      <c r="L204">
        <f t="shared" si="14"/>
        <v>9683.7999999999993</v>
      </c>
      <c r="M204" s="4">
        <f t="shared" si="15"/>
        <v>36.848554033485534</v>
      </c>
    </row>
    <row r="205" spans="1:13" x14ac:dyDescent="0.3">
      <c r="A205" t="s">
        <v>393</v>
      </c>
      <c r="B205" t="s">
        <v>394</v>
      </c>
      <c r="C205" t="s">
        <v>20</v>
      </c>
      <c r="D205" t="s">
        <v>16</v>
      </c>
      <c r="E205" t="s">
        <v>26</v>
      </c>
      <c r="F205">
        <v>4290</v>
      </c>
      <c r="G205">
        <v>3403.82</v>
      </c>
      <c r="H205">
        <v>8</v>
      </c>
      <c r="I205" s="3">
        <v>0.22</v>
      </c>
      <c r="J205">
        <f t="shared" si="12"/>
        <v>34320</v>
      </c>
      <c r="K205">
        <f t="shared" si="13"/>
        <v>7550.4</v>
      </c>
      <c r="L205">
        <f t="shared" si="14"/>
        <v>-460.96000000000095</v>
      </c>
      <c r="M205" s="4">
        <f t="shared" si="15"/>
        <v>-1.3431235431235458</v>
      </c>
    </row>
    <row r="206" spans="1:13" x14ac:dyDescent="0.3">
      <c r="A206" t="s">
        <v>395</v>
      </c>
      <c r="B206" t="s">
        <v>251</v>
      </c>
      <c r="C206" t="s">
        <v>25</v>
      </c>
      <c r="D206" t="s">
        <v>30</v>
      </c>
      <c r="E206" t="s">
        <v>59</v>
      </c>
      <c r="F206">
        <v>2073</v>
      </c>
      <c r="G206">
        <v>1730.21</v>
      </c>
      <c r="H206">
        <v>8</v>
      </c>
      <c r="I206" s="3">
        <v>0.3</v>
      </c>
      <c r="J206">
        <f t="shared" si="12"/>
        <v>16584</v>
      </c>
      <c r="K206">
        <f t="shared" si="13"/>
        <v>4975.2</v>
      </c>
      <c r="L206">
        <f t="shared" si="14"/>
        <v>-2232.88</v>
      </c>
      <c r="M206" s="4">
        <f t="shared" si="15"/>
        <v>-13.464061746261457</v>
      </c>
    </row>
    <row r="207" spans="1:13" x14ac:dyDescent="0.3">
      <c r="A207" t="s">
        <v>396</v>
      </c>
      <c r="B207" t="s">
        <v>87</v>
      </c>
      <c r="C207" t="s">
        <v>25</v>
      </c>
      <c r="D207" t="s">
        <v>21</v>
      </c>
      <c r="E207" t="s">
        <v>37</v>
      </c>
      <c r="F207">
        <v>1179</v>
      </c>
      <c r="G207">
        <v>953.17</v>
      </c>
      <c r="H207">
        <v>1</v>
      </c>
      <c r="I207" s="3">
        <v>0.37</v>
      </c>
      <c r="J207">
        <f t="shared" si="12"/>
        <v>1179</v>
      </c>
      <c r="K207">
        <f t="shared" si="13"/>
        <v>436.23</v>
      </c>
      <c r="L207">
        <f t="shared" si="14"/>
        <v>-210.39999999999998</v>
      </c>
      <c r="M207" s="4">
        <f t="shared" si="15"/>
        <v>-17.845631891433417</v>
      </c>
    </row>
    <row r="208" spans="1:13" x14ac:dyDescent="0.3">
      <c r="A208" t="s">
        <v>397</v>
      </c>
      <c r="B208" t="s">
        <v>398</v>
      </c>
      <c r="C208" t="s">
        <v>20</v>
      </c>
      <c r="D208" t="s">
        <v>30</v>
      </c>
      <c r="E208" t="s">
        <v>59</v>
      </c>
      <c r="F208">
        <v>1560</v>
      </c>
      <c r="G208">
        <v>925.23</v>
      </c>
      <c r="H208">
        <v>7</v>
      </c>
      <c r="I208" s="3">
        <v>0.04</v>
      </c>
      <c r="J208">
        <f t="shared" si="12"/>
        <v>10920</v>
      </c>
      <c r="K208">
        <f t="shared" si="13"/>
        <v>436.8</v>
      </c>
      <c r="L208">
        <f t="shared" si="14"/>
        <v>4006.5899999999992</v>
      </c>
      <c r="M208" s="4">
        <f t="shared" si="15"/>
        <v>36.690384615384609</v>
      </c>
    </row>
    <row r="209" spans="1:13" x14ac:dyDescent="0.3">
      <c r="A209" t="s">
        <v>399</v>
      </c>
      <c r="B209" t="s">
        <v>24</v>
      </c>
      <c r="C209" t="s">
        <v>25</v>
      </c>
      <c r="D209" t="s">
        <v>21</v>
      </c>
      <c r="E209" t="s">
        <v>22</v>
      </c>
      <c r="F209">
        <v>2271</v>
      </c>
      <c r="G209">
        <v>1461.87</v>
      </c>
      <c r="H209">
        <v>6</v>
      </c>
      <c r="I209" s="3">
        <v>0.34</v>
      </c>
      <c r="J209">
        <f t="shared" si="12"/>
        <v>13626</v>
      </c>
      <c r="K209">
        <f t="shared" si="13"/>
        <v>4632.84</v>
      </c>
      <c r="L209">
        <f t="shared" si="14"/>
        <v>221.94000000000051</v>
      </c>
      <c r="M209" s="4">
        <f t="shared" si="15"/>
        <v>1.628797886393663</v>
      </c>
    </row>
    <row r="210" spans="1:13" x14ac:dyDescent="0.3">
      <c r="A210" t="s">
        <v>400</v>
      </c>
      <c r="B210" t="s">
        <v>190</v>
      </c>
      <c r="C210" t="s">
        <v>29</v>
      </c>
      <c r="D210" t="s">
        <v>16</v>
      </c>
      <c r="E210" t="s">
        <v>85</v>
      </c>
      <c r="F210">
        <v>2884</v>
      </c>
      <c r="G210">
        <v>1595.59</v>
      </c>
      <c r="H210">
        <v>4</v>
      </c>
      <c r="I210" s="3">
        <v>0.01</v>
      </c>
      <c r="J210">
        <f t="shared" si="12"/>
        <v>11536</v>
      </c>
      <c r="K210">
        <f t="shared" si="13"/>
        <v>115.36</v>
      </c>
      <c r="L210">
        <f t="shared" si="14"/>
        <v>5038.2800000000007</v>
      </c>
      <c r="M210" s="4">
        <f t="shared" si="15"/>
        <v>43.674410540915396</v>
      </c>
    </row>
    <row r="211" spans="1:13" x14ac:dyDescent="0.3">
      <c r="A211" t="s">
        <v>401</v>
      </c>
      <c r="B211" t="s">
        <v>402</v>
      </c>
      <c r="C211" t="s">
        <v>20</v>
      </c>
      <c r="D211" t="s">
        <v>21</v>
      </c>
      <c r="E211" t="s">
        <v>47</v>
      </c>
      <c r="F211">
        <v>514</v>
      </c>
      <c r="G211">
        <v>337.28</v>
      </c>
      <c r="H211">
        <v>8</v>
      </c>
      <c r="I211" s="3">
        <v>0.22</v>
      </c>
      <c r="J211">
        <f t="shared" si="12"/>
        <v>4112</v>
      </c>
      <c r="K211">
        <f t="shared" si="13"/>
        <v>904.64</v>
      </c>
      <c r="L211">
        <f t="shared" si="14"/>
        <v>509.12000000000023</v>
      </c>
      <c r="M211" s="4">
        <f t="shared" si="15"/>
        <v>12.381322957198449</v>
      </c>
    </row>
    <row r="212" spans="1:13" x14ac:dyDescent="0.3">
      <c r="A212" t="s">
        <v>403</v>
      </c>
      <c r="B212" t="s">
        <v>404</v>
      </c>
      <c r="C212" t="s">
        <v>29</v>
      </c>
      <c r="D212" t="s">
        <v>21</v>
      </c>
      <c r="E212" t="s">
        <v>37</v>
      </c>
      <c r="F212">
        <v>2399</v>
      </c>
      <c r="G212">
        <v>1624.94</v>
      </c>
      <c r="H212">
        <v>1</v>
      </c>
      <c r="I212" s="3">
        <v>0.06</v>
      </c>
      <c r="J212">
        <f t="shared" si="12"/>
        <v>2399</v>
      </c>
      <c r="K212">
        <f t="shared" si="13"/>
        <v>143.94</v>
      </c>
      <c r="L212">
        <f t="shared" si="14"/>
        <v>630.11999999999989</v>
      </c>
      <c r="M212" s="4">
        <f t="shared" si="15"/>
        <v>26.265944143393078</v>
      </c>
    </row>
    <row r="213" spans="1:13" x14ac:dyDescent="0.3">
      <c r="A213" t="s">
        <v>405</v>
      </c>
      <c r="B213" t="s">
        <v>406</v>
      </c>
      <c r="C213" t="s">
        <v>29</v>
      </c>
      <c r="D213" t="s">
        <v>16</v>
      </c>
      <c r="E213" t="s">
        <v>17</v>
      </c>
      <c r="F213">
        <v>4230</v>
      </c>
      <c r="G213">
        <v>3400.97</v>
      </c>
      <c r="H213">
        <v>4</v>
      </c>
      <c r="I213" s="3">
        <v>0.14000000000000001</v>
      </c>
      <c r="J213">
        <f t="shared" si="12"/>
        <v>16920</v>
      </c>
      <c r="K213">
        <f t="shared" si="13"/>
        <v>2368.8000000000002</v>
      </c>
      <c r="L213">
        <f t="shared" si="14"/>
        <v>947.32000000000062</v>
      </c>
      <c r="M213" s="4">
        <f t="shared" si="15"/>
        <v>5.5988179669030771</v>
      </c>
    </row>
    <row r="214" spans="1:13" x14ac:dyDescent="0.3">
      <c r="A214" t="s">
        <v>407</v>
      </c>
      <c r="B214" t="s">
        <v>408</v>
      </c>
      <c r="C214" t="s">
        <v>25</v>
      </c>
      <c r="D214" t="s">
        <v>21</v>
      </c>
      <c r="E214" t="s">
        <v>37</v>
      </c>
      <c r="F214">
        <v>1674</v>
      </c>
      <c r="G214">
        <v>1229.81</v>
      </c>
      <c r="H214">
        <v>9</v>
      </c>
      <c r="I214" s="3">
        <v>0.38</v>
      </c>
      <c r="J214">
        <f t="shared" si="12"/>
        <v>15066</v>
      </c>
      <c r="K214">
        <f t="shared" si="13"/>
        <v>5725.08</v>
      </c>
      <c r="L214">
        <f t="shared" si="14"/>
        <v>-1727.369999999999</v>
      </c>
      <c r="M214" s="4">
        <f t="shared" si="15"/>
        <v>-11.465352449223412</v>
      </c>
    </row>
    <row r="215" spans="1:13" x14ac:dyDescent="0.3">
      <c r="A215" t="s">
        <v>409</v>
      </c>
      <c r="B215" t="s">
        <v>410</v>
      </c>
      <c r="C215" t="s">
        <v>20</v>
      </c>
      <c r="D215" t="s">
        <v>30</v>
      </c>
      <c r="E215" t="s">
        <v>59</v>
      </c>
      <c r="F215">
        <v>3841</v>
      </c>
      <c r="G215">
        <v>3223.06</v>
      </c>
      <c r="H215">
        <v>10</v>
      </c>
      <c r="I215" s="3">
        <v>0.19</v>
      </c>
      <c r="J215">
        <f t="shared" si="12"/>
        <v>38410</v>
      </c>
      <c r="K215">
        <f t="shared" si="13"/>
        <v>7297.9</v>
      </c>
      <c r="L215">
        <f t="shared" si="14"/>
        <v>-1118.4999999999982</v>
      </c>
      <c r="M215" s="4">
        <f t="shared" si="15"/>
        <v>-2.9120020827909352</v>
      </c>
    </row>
    <row r="216" spans="1:13" x14ac:dyDescent="0.3">
      <c r="A216" t="s">
        <v>411</v>
      </c>
      <c r="B216" t="s">
        <v>64</v>
      </c>
      <c r="C216" t="s">
        <v>25</v>
      </c>
      <c r="D216" t="s">
        <v>16</v>
      </c>
      <c r="E216" t="s">
        <v>40</v>
      </c>
      <c r="F216">
        <v>3042</v>
      </c>
      <c r="G216">
        <v>2454.62</v>
      </c>
      <c r="H216">
        <v>8</v>
      </c>
      <c r="I216" s="3">
        <v>0.3</v>
      </c>
      <c r="J216">
        <f t="shared" si="12"/>
        <v>24336</v>
      </c>
      <c r="K216">
        <f t="shared" si="13"/>
        <v>7300.8</v>
      </c>
      <c r="L216">
        <f t="shared" si="14"/>
        <v>-2601.7599999999993</v>
      </c>
      <c r="M216" s="4">
        <f t="shared" si="15"/>
        <v>-10.690992767915843</v>
      </c>
    </row>
    <row r="217" spans="1:13" x14ac:dyDescent="0.3">
      <c r="A217" t="s">
        <v>412</v>
      </c>
      <c r="B217" t="s">
        <v>120</v>
      </c>
      <c r="C217" t="s">
        <v>25</v>
      </c>
      <c r="D217" t="s">
        <v>21</v>
      </c>
      <c r="E217" t="s">
        <v>37</v>
      </c>
      <c r="F217">
        <v>1983</v>
      </c>
      <c r="G217">
        <v>1647.32</v>
      </c>
      <c r="H217">
        <v>1</v>
      </c>
      <c r="I217" s="3">
        <v>0.31</v>
      </c>
      <c r="J217">
        <f t="shared" si="12"/>
        <v>1983</v>
      </c>
      <c r="K217">
        <f t="shared" si="13"/>
        <v>614.73</v>
      </c>
      <c r="L217">
        <f t="shared" si="14"/>
        <v>-279.04999999999995</v>
      </c>
      <c r="M217" s="4">
        <f t="shared" si="15"/>
        <v>-14.07211296016137</v>
      </c>
    </row>
    <row r="218" spans="1:13" x14ac:dyDescent="0.3">
      <c r="A218" t="s">
        <v>413</v>
      </c>
      <c r="B218" t="s">
        <v>414</v>
      </c>
      <c r="C218" t="s">
        <v>25</v>
      </c>
      <c r="D218" t="s">
        <v>30</v>
      </c>
      <c r="E218" t="s">
        <v>59</v>
      </c>
      <c r="F218">
        <v>1536</v>
      </c>
      <c r="G218">
        <v>1003.09</v>
      </c>
      <c r="H218">
        <v>3</v>
      </c>
      <c r="I218" s="3">
        <v>0.31</v>
      </c>
      <c r="J218">
        <f t="shared" si="12"/>
        <v>4608</v>
      </c>
      <c r="K218">
        <f t="shared" si="13"/>
        <v>1428.48</v>
      </c>
      <c r="L218">
        <f t="shared" si="14"/>
        <v>170.25</v>
      </c>
      <c r="M218" s="4">
        <f t="shared" si="15"/>
        <v>3.6946614583333335</v>
      </c>
    </row>
    <row r="219" spans="1:13" x14ac:dyDescent="0.3">
      <c r="A219" t="s">
        <v>415</v>
      </c>
      <c r="B219" t="s">
        <v>416</v>
      </c>
      <c r="C219" t="s">
        <v>20</v>
      </c>
      <c r="D219" t="s">
        <v>21</v>
      </c>
      <c r="E219" t="s">
        <v>37</v>
      </c>
      <c r="F219">
        <v>1010</v>
      </c>
      <c r="G219">
        <v>597.98</v>
      </c>
      <c r="H219">
        <v>3</v>
      </c>
      <c r="I219" s="3">
        <v>0</v>
      </c>
      <c r="J219">
        <f t="shared" si="12"/>
        <v>3030</v>
      </c>
      <c r="K219">
        <f t="shared" si="13"/>
        <v>0</v>
      </c>
      <c r="L219">
        <f t="shared" si="14"/>
        <v>1236.06</v>
      </c>
      <c r="M219" s="4">
        <f t="shared" si="15"/>
        <v>40.794059405940594</v>
      </c>
    </row>
    <row r="220" spans="1:13" x14ac:dyDescent="0.3">
      <c r="A220" t="s">
        <v>417</v>
      </c>
      <c r="B220" t="s">
        <v>294</v>
      </c>
      <c r="C220" t="s">
        <v>15</v>
      </c>
      <c r="D220" t="s">
        <v>21</v>
      </c>
      <c r="E220" t="s">
        <v>47</v>
      </c>
      <c r="F220">
        <v>1691</v>
      </c>
      <c r="G220">
        <v>1107.18</v>
      </c>
      <c r="H220">
        <v>2</v>
      </c>
      <c r="I220" s="3">
        <v>0.05</v>
      </c>
      <c r="J220">
        <f t="shared" si="12"/>
        <v>3382</v>
      </c>
      <c r="K220">
        <f t="shared" si="13"/>
        <v>169.10000000000002</v>
      </c>
      <c r="L220">
        <f t="shared" si="14"/>
        <v>998.53999999999985</v>
      </c>
      <c r="M220" s="4">
        <f t="shared" si="15"/>
        <v>29.525133057362503</v>
      </c>
    </row>
    <row r="221" spans="1:13" x14ac:dyDescent="0.3">
      <c r="A221" t="s">
        <v>418</v>
      </c>
      <c r="B221" t="s">
        <v>419</v>
      </c>
      <c r="C221" t="s">
        <v>29</v>
      </c>
      <c r="D221" t="s">
        <v>30</v>
      </c>
      <c r="E221" t="s">
        <v>56</v>
      </c>
      <c r="F221">
        <v>2959</v>
      </c>
      <c r="G221">
        <v>2151.7600000000002</v>
      </c>
      <c r="H221">
        <v>3</v>
      </c>
      <c r="I221" s="3">
        <v>0.05</v>
      </c>
      <c r="J221">
        <f t="shared" si="12"/>
        <v>8877</v>
      </c>
      <c r="K221">
        <f t="shared" si="13"/>
        <v>443.85</v>
      </c>
      <c r="L221">
        <f t="shared" si="14"/>
        <v>1977.8699999999994</v>
      </c>
      <c r="M221" s="4">
        <f t="shared" si="15"/>
        <v>22.280838120986811</v>
      </c>
    </row>
    <row r="222" spans="1:13" x14ac:dyDescent="0.3">
      <c r="A222" t="s">
        <v>420</v>
      </c>
      <c r="B222" t="s">
        <v>421</v>
      </c>
      <c r="C222" t="s">
        <v>20</v>
      </c>
      <c r="D222" t="s">
        <v>30</v>
      </c>
      <c r="E222" t="s">
        <v>56</v>
      </c>
      <c r="F222">
        <v>3205</v>
      </c>
      <c r="G222">
        <v>2558.52</v>
      </c>
      <c r="H222">
        <v>3</v>
      </c>
      <c r="I222" s="3">
        <v>7.0000000000000007E-2</v>
      </c>
      <c r="J222">
        <f t="shared" si="12"/>
        <v>9615</v>
      </c>
      <c r="K222">
        <f t="shared" si="13"/>
        <v>673.05000000000007</v>
      </c>
      <c r="L222">
        <f t="shared" si="14"/>
        <v>1266.3900000000003</v>
      </c>
      <c r="M222" s="4">
        <f t="shared" si="15"/>
        <v>13.170982839313575</v>
      </c>
    </row>
    <row r="223" spans="1:13" x14ac:dyDescent="0.3">
      <c r="A223" t="s">
        <v>422</v>
      </c>
      <c r="B223" t="s">
        <v>423</v>
      </c>
      <c r="C223" t="s">
        <v>20</v>
      </c>
      <c r="D223" t="s">
        <v>21</v>
      </c>
      <c r="E223" t="s">
        <v>22</v>
      </c>
      <c r="F223">
        <v>677</v>
      </c>
      <c r="G223">
        <v>468.81</v>
      </c>
      <c r="H223">
        <v>8</v>
      </c>
      <c r="I223" s="3">
        <v>0.12</v>
      </c>
      <c r="J223">
        <f t="shared" si="12"/>
        <v>5416</v>
      </c>
      <c r="K223">
        <f t="shared" si="13"/>
        <v>649.91999999999996</v>
      </c>
      <c r="L223">
        <f t="shared" si="14"/>
        <v>1015.6</v>
      </c>
      <c r="M223" s="4">
        <f t="shared" si="15"/>
        <v>18.751846381093056</v>
      </c>
    </row>
    <row r="224" spans="1:13" x14ac:dyDescent="0.3">
      <c r="A224" t="s">
        <v>424</v>
      </c>
      <c r="B224" t="s">
        <v>425</v>
      </c>
      <c r="C224" t="s">
        <v>29</v>
      </c>
      <c r="D224" t="s">
        <v>21</v>
      </c>
      <c r="E224" t="s">
        <v>47</v>
      </c>
      <c r="F224">
        <v>2276</v>
      </c>
      <c r="G224">
        <v>1699.79</v>
      </c>
      <c r="H224">
        <v>7</v>
      </c>
      <c r="I224" s="3">
        <v>7.0000000000000007E-2</v>
      </c>
      <c r="J224">
        <f t="shared" si="12"/>
        <v>15932</v>
      </c>
      <c r="K224">
        <f t="shared" si="13"/>
        <v>1115.24</v>
      </c>
      <c r="L224">
        <f t="shared" si="14"/>
        <v>2918.2300000000014</v>
      </c>
      <c r="M224" s="4">
        <f t="shared" si="15"/>
        <v>18.316783831282962</v>
      </c>
    </row>
    <row r="225" spans="1:13" x14ac:dyDescent="0.3">
      <c r="A225" t="s">
        <v>426</v>
      </c>
      <c r="B225" t="s">
        <v>380</v>
      </c>
      <c r="C225" t="s">
        <v>20</v>
      </c>
      <c r="D225" t="s">
        <v>16</v>
      </c>
      <c r="E225" t="s">
        <v>85</v>
      </c>
      <c r="F225">
        <v>4844</v>
      </c>
      <c r="G225">
        <v>3981.67</v>
      </c>
      <c r="H225">
        <v>1</v>
      </c>
      <c r="I225" s="3">
        <v>0.23</v>
      </c>
      <c r="J225">
        <f t="shared" si="12"/>
        <v>4844</v>
      </c>
      <c r="K225">
        <f t="shared" si="13"/>
        <v>1114.1200000000001</v>
      </c>
      <c r="L225">
        <f t="shared" si="14"/>
        <v>-251.79000000000019</v>
      </c>
      <c r="M225" s="4">
        <f t="shared" si="15"/>
        <v>-5.197976878612721</v>
      </c>
    </row>
    <row r="226" spans="1:13" x14ac:dyDescent="0.3">
      <c r="A226" t="s">
        <v>427</v>
      </c>
      <c r="B226" t="s">
        <v>408</v>
      </c>
      <c r="C226" t="s">
        <v>15</v>
      </c>
      <c r="D226" t="s">
        <v>21</v>
      </c>
      <c r="E226" t="s">
        <v>47</v>
      </c>
      <c r="F226">
        <v>1909</v>
      </c>
      <c r="G226">
        <v>1529.38</v>
      </c>
      <c r="H226">
        <v>7</v>
      </c>
      <c r="I226" s="3">
        <v>0.1</v>
      </c>
      <c r="J226">
        <f t="shared" si="12"/>
        <v>13363</v>
      </c>
      <c r="K226">
        <f t="shared" si="13"/>
        <v>1336.3000000000002</v>
      </c>
      <c r="L226">
        <f t="shared" si="14"/>
        <v>1321.04</v>
      </c>
      <c r="M226" s="4">
        <f t="shared" si="15"/>
        <v>9.8858040859088536</v>
      </c>
    </row>
    <row r="227" spans="1:13" x14ac:dyDescent="0.3">
      <c r="A227" t="s">
        <v>428</v>
      </c>
      <c r="B227" t="s">
        <v>429</v>
      </c>
      <c r="C227" t="s">
        <v>29</v>
      </c>
      <c r="D227" t="s">
        <v>16</v>
      </c>
      <c r="E227" t="s">
        <v>85</v>
      </c>
      <c r="F227">
        <v>3304</v>
      </c>
      <c r="G227">
        <v>2611.87</v>
      </c>
      <c r="H227">
        <v>7</v>
      </c>
      <c r="I227" s="3">
        <v>0.16</v>
      </c>
      <c r="J227">
        <f t="shared" si="12"/>
        <v>23128</v>
      </c>
      <c r="K227">
        <f t="shared" si="13"/>
        <v>3700.48</v>
      </c>
      <c r="L227">
        <f t="shared" si="14"/>
        <v>1144.4299999999998</v>
      </c>
      <c r="M227" s="4">
        <f t="shared" si="15"/>
        <v>4.9482445520581102</v>
      </c>
    </row>
    <row r="228" spans="1:13" x14ac:dyDescent="0.3">
      <c r="A228" t="s">
        <v>430</v>
      </c>
      <c r="B228" t="s">
        <v>431</v>
      </c>
      <c r="C228" t="s">
        <v>20</v>
      </c>
      <c r="D228" t="s">
        <v>16</v>
      </c>
      <c r="E228" t="s">
        <v>26</v>
      </c>
      <c r="F228">
        <v>4742</v>
      </c>
      <c r="G228">
        <v>3874.02</v>
      </c>
      <c r="H228">
        <v>8</v>
      </c>
      <c r="I228" s="3">
        <v>0.05</v>
      </c>
      <c r="J228">
        <f t="shared" si="12"/>
        <v>37936</v>
      </c>
      <c r="K228">
        <f t="shared" si="13"/>
        <v>1896.8000000000002</v>
      </c>
      <c r="L228">
        <f t="shared" si="14"/>
        <v>5047.04</v>
      </c>
      <c r="M228" s="4">
        <f t="shared" si="15"/>
        <v>13.304091100801349</v>
      </c>
    </row>
    <row r="229" spans="1:13" x14ac:dyDescent="0.3">
      <c r="A229" t="s">
        <v>432</v>
      </c>
      <c r="B229" t="s">
        <v>433</v>
      </c>
      <c r="C229" t="s">
        <v>20</v>
      </c>
      <c r="D229" t="s">
        <v>21</v>
      </c>
      <c r="E229" t="s">
        <v>37</v>
      </c>
      <c r="F229">
        <v>1360</v>
      </c>
      <c r="G229">
        <v>816.22</v>
      </c>
      <c r="H229">
        <v>3</v>
      </c>
      <c r="I229" s="3">
        <v>0</v>
      </c>
      <c r="J229">
        <f t="shared" si="12"/>
        <v>4080</v>
      </c>
      <c r="K229">
        <f t="shared" si="13"/>
        <v>0</v>
      </c>
      <c r="L229">
        <f t="shared" si="14"/>
        <v>1631.3400000000001</v>
      </c>
      <c r="M229" s="4">
        <f t="shared" si="15"/>
        <v>39.983823529411765</v>
      </c>
    </row>
    <row r="230" spans="1:13" x14ac:dyDescent="0.3">
      <c r="A230" t="s">
        <v>434</v>
      </c>
      <c r="B230" t="s">
        <v>435</v>
      </c>
      <c r="C230" t="s">
        <v>25</v>
      </c>
      <c r="D230" t="s">
        <v>30</v>
      </c>
      <c r="E230" t="s">
        <v>31</v>
      </c>
      <c r="F230">
        <v>3802</v>
      </c>
      <c r="G230">
        <v>2647.54</v>
      </c>
      <c r="H230">
        <v>9</v>
      </c>
      <c r="I230" s="3">
        <v>0.32</v>
      </c>
      <c r="J230">
        <f t="shared" si="12"/>
        <v>34218</v>
      </c>
      <c r="K230">
        <f t="shared" si="13"/>
        <v>10949.76</v>
      </c>
      <c r="L230">
        <f t="shared" si="14"/>
        <v>-559.6200000000008</v>
      </c>
      <c r="M230" s="4">
        <f t="shared" si="15"/>
        <v>-1.635455023671754</v>
      </c>
    </row>
    <row r="231" spans="1:13" x14ac:dyDescent="0.3">
      <c r="A231" t="s">
        <v>436</v>
      </c>
      <c r="B231" t="s">
        <v>228</v>
      </c>
      <c r="C231" t="s">
        <v>15</v>
      </c>
      <c r="D231" t="s">
        <v>30</v>
      </c>
      <c r="E231" t="s">
        <v>59</v>
      </c>
      <c r="F231">
        <v>1526</v>
      </c>
      <c r="G231">
        <v>1295.73</v>
      </c>
      <c r="H231">
        <v>9</v>
      </c>
      <c r="I231" s="3">
        <v>0.03</v>
      </c>
      <c r="J231">
        <f t="shared" si="12"/>
        <v>13734</v>
      </c>
      <c r="K231">
        <f t="shared" si="13"/>
        <v>412.02</v>
      </c>
      <c r="L231">
        <f t="shared" si="14"/>
        <v>1660.4100000000003</v>
      </c>
      <c r="M231" s="4">
        <f t="shared" si="15"/>
        <v>12.089777195281785</v>
      </c>
    </row>
    <row r="232" spans="1:13" x14ac:dyDescent="0.3">
      <c r="A232" t="s">
        <v>437</v>
      </c>
      <c r="B232" t="s">
        <v>159</v>
      </c>
      <c r="C232" t="s">
        <v>15</v>
      </c>
      <c r="D232" t="s">
        <v>16</v>
      </c>
      <c r="E232" t="s">
        <v>17</v>
      </c>
      <c r="F232">
        <v>3571</v>
      </c>
      <c r="G232">
        <v>2344.52</v>
      </c>
      <c r="H232">
        <v>4</v>
      </c>
      <c r="I232" s="3">
        <v>0.22</v>
      </c>
      <c r="J232">
        <f t="shared" si="12"/>
        <v>14284</v>
      </c>
      <c r="K232">
        <f t="shared" si="13"/>
        <v>3142.48</v>
      </c>
      <c r="L232">
        <f t="shared" si="14"/>
        <v>1763.44</v>
      </c>
      <c r="M232" s="4">
        <f t="shared" si="15"/>
        <v>12.345561467376086</v>
      </c>
    </row>
    <row r="233" spans="1:13" x14ac:dyDescent="0.3">
      <c r="A233" t="s">
        <v>438</v>
      </c>
      <c r="B233" t="s">
        <v>284</v>
      </c>
      <c r="C233" t="s">
        <v>20</v>
      </c>
      <c r="D233" t="s">
        <v>16</v>
      </c>
      <c r="E233" t="s">
        <v>26</v>
      </c>
      <c r="F233">
        <v>3525</v>
      </c>
      <c r="G233">
        <v>2847.09</v>
      </c>
      <c r="H233">
        <v>1</v>
      </c>
      <c r="I233" s="3">
        <v>0.08</v>
      </c>
      <c r="J233">
        <f t="shared" si="12"/>
        <v>3525</v>
      </c>
      <c r="K233">
        <f t="shared" si="13"/>
        <v>282</v>
      </c>
      <c r="L233">
        <f t="shared" si="14"/>
        <v>395.90999999999985</v>
      </c>
      <c r="M233" s="4">
        <f t="shared" si="15"/>
        <v>11.231489361702124</v>
      </c>
    </row>
    <row r="234" spans="1:13" x14ac:dyDescent="0.3">
      <c r="A234" t="s">
        <v>439</v>
      </c>
      <c r="B234" t="s">
        <v>440</v>
      </c>
      <c r="C234" t="s">
        <v>15</v>
      </c>
      <c r="D234" t="s">
        <v>16</v>
      </c>
      <c r="E234" t="s">
        <v>17</v>
      </c>
      <c r="F234">
        <v>3904</v>
      </c>
      <c r="G234">
        <v>3188.6</v>
      </c>
      <c r="H234">
        <v>6</v>
      </c>
      <c r="I234" s="3">
        <v>7.0000000000000007E-2</v>
      </c>
      <c r="J234">
        <f t="shared" si="12"/>
        <v>23424</v>
      </c>
      <c r="K234">
        <f t="shared" si="13"/>
        <v>1639.68</v>
      </c>
      <c r="L234">
        <f t="shared" si="14"/>
        <v>2652.7200000000012</v>
      </c>
      <c r="M234" s="4">
        <f t="shared" si="15"/>
        <v>11.324795081967217</v>
      </c>
    </row>
    <row r="235" spans="1:13" x14ac:dyDescent="0.3">
      <c r="A235" t="s">
        <v>441</v>
      </c>
      <c r="B235" t="s">
        <v>442</v>
      </c>
      <c r="C235" t="s">
        <v>25</v>
      </c>
      <c r="D235" t="s">
        <v>30</v>
      </c>
      <c r="E235" t="s">
        <v>34</v>
      </c>
      <c r="F235">
        <v>3444</v>
      </c>
      <c r="G235">
        <v>2686.21</v>
      </c>
      <c r="H235">
        <v>6</v>
      </c>
      <c r="I235" s="3">
        <v>0.34</v>
      </c>
      <c r="J235">
        <f t="shared" si="12"/>
        <v>20664</v>
      </c>
      <c r="K235">
        <f t="shared" si="13"/>
        <v>7025.76</v>
      </c>
      <c r="L235">
        <f t="shared" si="14"/>
        <v>-2479.0200000000004</v>
      </c>
      <c r="M235" s="4">
        <f t="shared" si="15"/>
        <v>-11.996806039488968</v>
      </c>
    </row>
    <row r="236" spans="1:13" x14ac:dyDescent="0.3">
      <c r="A236" t="s">
        <v>443</v>
      </c>
      <c r="B236" t="s">
        <v>444</v>
      </c>
      <c r="C236" t="s">
        <v>25</v>
      </c>
      <c r="D236" t="s">
        <v>16</v>
      </c>
      <c r="E236" t="s">
        <v>26</v>
      </c>
      <c r="F236">
        <v>3098</v>
      </c>
      <c r="G236">
        <v>2172.13</v>
      </c>
      <c r="H236">
        <v>9</v>
      </c>
      <c r="I236" s="3">
        <v>0.24</v>
      </c>
      <c r="J236">
        <f t="shared" si="12"/>
        <v>27882</v>
      </c>
      <c r="K236">
        <f t="shared" si="13"/>
        <v>6691.6799999999994</v>
      </c>
      <c r="L236">
        <f t="shared" si="14"/>
        <v>1641.1499999999987</v>
      </c>
      <c r="M236" s="4">
        <f t="shared" si="15"/>
        <v>5.8860555196901174</v>
      </c>
    </row>
    <row r="237" spans="1:13" x14ac:dyDescent="0.3">
      <c r="A237" t="s">
        <v>445</v>
      </c>
      <c r="B237" t="s">
        <v>446</v>
      </c>
      <c r="C237" t="s">
        <v>29</v>
      </c>
      <c r="D237" t="s">
        <v>30</v>
      </c>
      <c r="E237" t="s">
        <v>56</v>
      </c>
      <c r="F237">
        <v>2445</v>
      </c>
      <c r="G237">
        <v>1985.02</v>
      </c>
      <c r="H237">
        <v>2</v>
      </c>
      <c r="I237" s="3">
        <v>0.19</v>
      </c>
      <c r="J237">
        <f t="shared" si="12"/>
        <v>4890</v>
      </c>
      <c r="K237">
        <f t="shared" si="13"/>
        <v>929.1</v>
      </c>
      <c r="L237">
        <f t="shared" si="14"/>
        <v>-9.1399999999999864</v>
      </c>
      <c r="M237" s="4">
        <f t="shared" si="15"/>
        <v>-0.18691206543967254</v>
      </c>
    </row>
    <row r="238" spans="1:13" x14ac:dyDescent="0.3">
      <c r="A238" t="s">
        <v>447</v>
      </c>
      <c r="B238" t="s">
        <v>161</v>
      </c>
      <c r="C238" t="s">
        <v>20</v>
      </c>
      <c r="D238" t="s">
        <v>30</v>
      </c>
      <c r="E238" t="s">
        <v>34</v>
      </c>
      <c r="F238">
        <v>1599</v>
      </c>
      <c r="G238">
        <v>1189.17</v>
      </c>
      <c r="H238">
        <v>1</v>
      </c>
      <c r="I238" s="3">
        <v>0.15</v>
      </c>
      <c r="J238">
        <f t="shared" si="12"/>
        <v>1599</v>
      </c>
      <c r="K238">
        <f t="shared" si="13"/>
        <v>239.85</v>
      </c>
      <c r="L238">
        <f t="shared" si="14"/>
        <v>169.97999999999993</v>
      </c>
      <c r="M238" s="4">
        <f t="shared" si="15"/>
        <v>10.630393996247649</v>
      </c>
    </row>
    <row r="239" spans="1:13" x14ac:dyDescent="0.3">
      <c r="A239" t="s">
        <v>448</v>
      </c>
      <c r="B239" t="s">
        <v>449</v>
      </c>
      <c r="C239" t="s">
        <v>20</v>
      </c>
      <c r="D239" t="s">
        <v>30</v>
      </c>
      <c r="E239" t="s">
        <v>31</v>
      </c>
      <c r="F239">
        <v>3537</v>
      </c>
      <c r="G239">
        <v>2108.1999999999998</v>
      </c>
      <c r="H239">
        <v>4</v>
      </c>
      <c r="I239" s="3">
        <v>0</v>
      </c>
      <c r="J239">
        <f t="shared" si="12"/>
        <v>14148</v>
      </c>
      <c r="K239">
        <f t="shared" si="13"/>
        <v>0</v>
      </c>
      <c r="L239">
        <f t="shared" si="14"/>
        <v>5715.2000000000007</v>
      </c>
      <c r="M239" s="4">
        <f t="shared" si="15"/>
        <v>40.395815662991239</v>
      </c>
    </row>
    <row r="240" spans="1:13" x14ac:dyDescent="0.3">
      <c r="A240" t="s">
        <v>450</v>
      </c>
      <c r="B240" t="s">
        <v>451</v>
      </c>
      <c r="C240" t="s">
        <v>29</v>
      </c>
      <c r="D240" t="s">
        <v>16</v>
      </c>
      <c r="E240" t="s">
        <v>26</v>
      </c>
      <c r="F240">
        <v>3884</v>
      </c>
      <c r="G240">
        <v>2991.94</v>
      </c>
      <c r="H240">
        <v>2</v>
      </c>
      <c r="I240" s="3">
        <v>0.19</v>
      </c>
      <c r="J240">
        <f t="shared" si="12"/>
        <v>7768</v>
      </c>
      <c r="K240">
        <f t="shared" si="13"/>
        <v>1475.92</v>
      </c>
      <c r="L240">
        <f t="shared" si="14"/>
        <v>308.19999999999982</v>
      </c>
      <c r="M240" s="4">
        <f t="shared" si="15"/>
        <v>3.9675592173017487</v>
      </c>
    </row>
    <row r="241" spans="1:13" x14ac:dyDescent="0.3">
      <c r="A241" t="s">
        <v>452</v>
      </c>
      <c r="B241" t="s">
        <v>264</v>
      </c>
      <c r="C241" t="s">
        <v>20</v>
      </c>
      <c r="D241" t="s">
        <v>16</v>
      </c>
      <c r="E241" t="s">
        <v>17</v>
      </c>
      <c r="F241">
        <v>5335</v>
      </c>
      <c r="G241">
        <v>3122.99</v>
      </c>
      <c r="H241">
        <v>5</v>
      </c>
      <c r="I241" s="3">
        <v>0.05</v>
      </c>
      <c r="J241">
        <f t="shared" si="12"/>
        <v>26675</v>
      </c>
      <c r="K241">
        <f t="shared" si="13"/>
        <v>1333.75</v>
      </c>
      <c r="L241">
        <f t="shared" si="14"/>
        <v>9726.3000000000011</v>
      </c>
      <c r="M241" s="4">
        <f t="shared" si="15"/>
        <v>36.462230552952207</v>
      </c>
    </row>
    <row r="242" spans="1:13" x14ac:dyDescent="0.3">
      <c r="A242" t="s">
        <v>453</v>
      </c>
      <c r="B242" t="s">
        <v>364</v>
      </c>
      <c r="C242" t="s">
        <v>25</v>
      </c>
      <c r="D242" t="s">
        <v>21</v>
      </c>
      <c r="E242" t="s">
        <v>62</v>
      </c>
      <c r="F242">
        <v>1146</v>
      </c>
      <c r="G242">
        <v>913.05</v>
      </c>
      <c r="H242">
        <v>10</v>
      </c>
      <c r="I242" s="3">
        <v>0.21</v>
      </c>
      <c r="J242">
        <f t="shared" si="12"/>
        <v>11460</v>
      </c>
      <c r="K242">
        <f t="shared" si="13"/>
        <v>2406.6</v>
      </c>
      <c r="L242">
        <f t="shared" si="14"/>
        <v>-77.099999999999909</v>
      </c>
      <c r="M242" s="4">
        <f t="shared" si="15"/>
        <v>-0.67277486910994688</v>
      </c>
    </row>
    <row r="243" spans="1:13" x14ac:dyDescent="0.3">
      <c r="A243" t="s">
        <v>454</v>
      </c>
      <c r="B243" t="s">
        <v>455</v>
      </c>
      <c r="C243" t="s">
        <v>29</v>
      </c>
      <c r="D243" t="s">
        <v>21</v>
      </c>
      <c r="E243" t="s">
        <v>47</v>
      </c>
      <c r="F243">
        <v>1349</v>
      </c>
      <c r="G243">
        <v>918.51</v>
      </c>
      <c r="H243">
        <v>8</v>
      </c>
      <c r="I243" s="3">
        <v>0.11</v>
      </c>
      <c r="J243">
        <f t="shared" si="12"/>
        <v>10792</v>
      </c>
      <c r="K243">
        <f t="shared" si="13"/>
        <v>1187.1200000000001</v>
      </c>
      <c r="L243">
        <f t="shared" si="14"/>
        <v>2256.8000000000002</v>
      </c>
      <c r="M243" s="4">
        <f t="shared" si="15"/>
        <v>20.911786508524834</v>
      </c>
    </row>
    <row r="244" spans="1:13" x14ac:dyDescent="0.3">
      <c r="A244" t="s">
        <v>456</v>
      </c>
      <c r="B244" t="s">
        <v>457</v>
      </c>
      <c r="C244" t="s">
        <v>20</v>
      </c>
      <c r="D244" t="s">
        <v>21</v>
      </c>
      <c r="E244" t="s">
        <v>62</v>
      </c>
      <c r="F244">
        <v>931</v>
      </c>
      <c r="G244">
        <v>739.05</v>
      </c>
      <c r="H244">
        <v>9</v>
      </c>
      <c r="I244" s="3">
        <v>0.24</v>
      </c>
      <c r="J244">
        <f t="shared" si="12"/>
        <v>8379</v>
      </c>
      <c r="K244">
        <f t="shared" si="13"/>
        <v>2010.96</v>
      </c>
      <c r="L244">
        <f t="shared" si="14"/>
        <v>-283.40999999999985</v>
      </c>
      <c r="M244" s="4">
        <f t="shared" si="15"/>
        <v>-3.3823845327604705</v>
      </c>
    </row>
    <row r="245" spans="1:13" x14ac:dyDescent="0.3">
      <c r="A245" t="s">
        <v>458</v>
      </c>
      <c r="B245" t="s">
        <v>153</v>
      </c>
      <c r="C245" t="s">
        <v>20</v>
      </c>
      <c r="D245" t="s">
        <v>21</v>
      </c>
      <c r="E245" t="s">
        <v>37</v>
      </c>
      <c r="F245">
        <v>905</v>
      </c>
      <c r="G245">
        <v>655.53</v>
      </c>
      <c r="H245">
        <v>9</v>
      </c>
      <c r="I245" s="3">
        <v>7.0000000000000007E-2</v>
      </c>
      <c r="J245">
        <f t="shared" si="12"/>
        <v>8145</v>
      </c>
      <c r="K245">
        <f t="shared" si="13"/>
        <v>570.15000000000009</v>
      </c>
      <c r="L245">
        <f t="shared" si="14"/>
        <v>1675.0800000000004</v>
      </c>
      <c r="M245" s="4">
        <f t="shared" si="15"/>
        <v>20.565745856353594</v>
      </c>
    </row>
    <row r="246" spans="1:13" x14ac:dyDescent="0.3">
      <c r="A246" t="s">
        <v>459</v>
      </c>
      <c r="B246" t="s">
        <v>460</v>
      </c>
      <c r="C246" t="s">
        <v>25</v>
      </c>
      <c r="D246" t="s">
        <v>16</v>
      </c>
      <c r="E246" t="s">
        <v>17</v>
      </c>
      <c r="F246">
        <v>5791</v>
      </c>
      <c r="G246">
        <v>3554.38</v>
      </c>
      <c r="H246">
        <v>8</v>
      </c>
      <c r="I246" s="3">
        <v>0.31</v>
      </c>
      <c r="J246">
        <f t="shared" si="12"/>
        <v>46328</v>
      </c>
      <c r="K246">
        <f t="shared" si="13"/>
        <v>14361.68</v>
      </c>
      <c r="L246">
        <f t="shared" si="14"/>
        <v>3531.2799999999988</v>
      </c>
      <c r="M246" s="4">
        <f t="shared" si="15"/>
        <v>7.6223450181315808</v>
      </c>
    </row>
    <row r="247" spans="1:13" x14ac:dyDescent="0.3">
      <c r="A247" t="s">
        <v>461</v>
      </c>
      <c r="B247" t="s">
        <v>333</v>
      </c>
      <c r="C247" t="s">
        <v>29</v>
      </c>
      <c r="D247" t="s">
        <v>30</v>
      </c>
      <c r="E247" t="s">
        <v>59</v>
      </c>
      <c r="F247">
        <v>3876</v>
      </c>
      <c r="G247">
        <v>2469.29</v>
      </c>
      <c r="H247">
        <v>8</v>
      </c>
      <c r="I247" s="3">
        <v>7.0000000000000007E-2</v>
      </c>
      <c r="J247">
        <f t="shared" si="12"/>
        <v>31008</v>
      </c>
      <c r="K247">
        <f t="shared" si="13"/>
        <v>2170.5600000000004</v>
      </c>
      <c r="L247">
        <f t="shared" si="14"/>
        <v>9083.119999999999</v>
      </c>
      <c r="M247" s="4">
        <f t="shared" si="15"/>
        <v>29.292827657378741</v>
      </c>
    </row>
    <row r="248" spans="1:13" x14ac:dyDescent="0.3">
      <c r="A248" t="s">
        <v>462</v>
      </c>
      <c r="B248" t="s">
        <v>61</v>
      </c>
      <c r="C248" t="s">
        <v>20</v>
      </c>
      <c r="D248" t="s">
        <v>21</v>
      </c>
      <c r="E248" t="s">
        <v>62</v>
      </c>
      <c r="F248">
        <v>2120</v>
      </c>
      <c r="G248">
        <v>1373.44</v>
      </c>
      <c r="H248">
        <v>5</v>
      </c>
      <c r="I248" s="3">
        <v>0.13</v>
      </c>
      <c r="J248">
        <f t="shared" si="12"/>
        <v>10600</v>
      </c>
      <c r="K248">
        <f t="shared" si="13"/>
        <v>1378</v>
      </c>
      <c r="L248">
        <f t="shared" si="14"/>
        <v>2354.7999999999993</v>
      </c>
      <c r="M248" s="4">
        <f t="shared" si="15"/>
        <v>22.215094339622635</v>
      </c>
    </row>
    <row r="249" spans="1:13" x14ac:dyDescent="0.3">
      <c r="A249" t="s">
        <v>463</v>
      </c>
      <c r="B249" t="s">
        <v>464</v>
      </c>
      <c r="C249" t="s">
        <v>15</v>
      </c>
      <c r="D249" t="s">
        <v>30</v>
      </c>
      <c r="E249" t="s">
        <v>56</v>
      </c>
      <c r="F249">
        <v>2837</v>
      </c>
      <c r="G249">
        <v>2290.09</v>
      </c>
      <c r="H249">
        <v>9</v>
      </c>
      <c r="I249" s="3">
        <v>0.01</v>
      </c>
      <c r="J249">
        <f t="shared" si="12"/>
        <v>25533</v>
      </c>
      <c r="K249">
        <f t="shared" si="13"/>
        <v>255.33</v>
      </c>
      <c r="L249">
        <f t="shared" si="14"/>
        <v>4666.8599999999988</v>
      </c>
      <c r="M249" s="4">
        <f t="shared" si="15"/>
        <v>18.277758195276697</v>
      </c>
    </row>
    <row r="250" spans="1:13" x14ac:dyDescent="0.3">
      <c r="A250" t="s">
        <v>465</v>
      </c>
      <c r="B250" t="s">
        <v>337</v>
      </c>
      <c r="C250" t="s">
        <v>20</v>
      </c>
      <c r="D250" t="s">
        <v>30</v>
      </c>
      <c r="E250" t="s">
        <v>31</v>
      </c>
      <c r="F250">
        <v>3103</v>
      </c>
      <c r="G250">
        <v>2279.4499999999998</v>
      </c>
      <c r="H250">
        <v>2</v>
      </c>
      <c r="I250" s="3">
        <v>0.11</v>
      </c>
      <c r="J250">
        <f t="shared" si="12"/>
        <v>6206</v>
      </c>
      <c r="K250">
        <f t="shared" si="13"/>
        <v>682.66</v>
      </c>
      <c r="L250">
        <f t="shared" si="14"/>
        <v>964.4400000000004</v>
      </c>
      <c r="M250" s="4">
        <f t="shared" si="15"/>
        <v>15.54044473090558</v>
      </c>
    </row>
    <row r="251" spans="1:13" x14ac:dyDescent="0.3">
      <c r="A251" t="s">
        <v>466</v>
      </c>
      <c r="B251" t="s">
        <v>194</v>
      </c>
      <c r="C251" t="s">
        <v>20</v>
      </c>
      <c r="D251" t="s">
        <v>30</v>
      </c>
      <c r="E251" t="s">
        <v>34</v>
      </c>
      <c r="F251">
        <v>3162</v>
      </c>
      <c r="G251">
        <v>2420.7199999999998</v>
      </c>
      <c r="H251">
        <v>3</v>
      </c>
      <c r="I251" s="3">
        <v>0.1</v>
      </c>
      <c r="J251">
        <f t="shared" si="12"/>
        <v>9486</v>
      </c>
      <c r="K251">
        <f t="shared" si="13"/>
        <v>948.6</v>
      </c>
      <c r="L251">
        <f t="shared" si="14"/>
        <v>1275.2400000000002</v>
      </c>
      <c r="M251" s="4">
        <f t="shared" si="15"/>
        <v>13.44339025932954</v>
      </c>
    </row>
    <row r="252" spans="1:13" x14ac:dyDescent="0.3">
      <c r="A252" t="s">
        <v>467</v>
      </c>
      <c r="B252" t="s">
        <v>468</v>
      </c>
      <c r="C252" t="s">
        <v>25</v>
      </c>
      <c r="D252" t="s">
        <v>16</v>
      </c>
      <c r="E252" t="s">
        <v>17</v>
      </c>
      <c r="F252">
        <v>5888</v>
      </c>
      <c r="G252">
        <v>3487.93</v>
      </c>
      <c r="H252">
        <v>8</v>
      </c>
      <c r="I252" s="3">
        <v>0.38</v>
      </c>
      <c r="J252">
        <f t="shared" si="12"/>
        <v>47104</v>
      </c>
      <c r="K252">
        <f t="shared" si="13"/>
        <v>17899.52</v>
      </c>
      <c r="L252">
        <f t="shared" si="14"/>
        <v>1301.0400000000009</v>
      </c>
      <c r="M252" s="4">
        <f t="shared" si="15"/>
        <v>2.7620584239130452</v>
      </c>
    </row>
    <row r="253" spans="1:13" x14ac:dyDescent="0.3">
      <c r="A253" t="s">
        <v>469</v>
      </c>
      <c r="B253" t="s">
        <v>151</v>
      </c>
      <c r="C253" t="s">
        <v>20</v>
      </c>
      <c r="D253" t="s">
        <v>21</v>
      </c>
      <c r="E253" t="s">
        <v>47</v>
      </c>
      <c r="F253">
        <v>1233</v>
      </c>
      <c r="G253">
        <v>727.18</v>
      </c>
      <c r="H253">
        <v>2</v>
      </c>
      <c r="I253" s="3">
        <v>0</v>
      </c>
      <c r="J253">
        <f t="shared" si="12"/>
        <v>2466</v>
      </c>
      <c r="K253">
        <f t="shared" si="13"/>
        <v>0</v>
      </c>
      <c r="L253">
        <f t="shared" si="14"/>
        <v>1011.6400000000001</v>
      </c>
      <c r="M253" s="4">
        <f t="shared" si="15"/>
        <v>41.023519870235205</v>
      </c>
    </row>
    <row r="254" spans="1:13" x14ac:dyDescent="0.3">
      <c r="A254" t="s">
        <v>470</v>
      </c>
      <c r="B254" t="s">
        <v>471</v>
      </c>
      <c r="C254" t="s">
        <v>20</v>
      </c>
      <c r="D254" t="s">
        <v>16</v>
      </c>
      <c r="E254" t="s">
        <v>40</v>
      </c>
      <c r="F254">
        <v>2313</v>
      </c>
      <c r="G254">
        <v>1671.24</v>
      </c>
      <c r="H254">
        <v>3</v>
      </c>
      <c r="I254" s="3">
        <v>0.09</v>
      </c>
      <c r="J254">
        <f t="shared" si="12"/>
        <v>6939</v>
      </c>
      <c r="K254">
        <f t="shared" si="13"/>
        <v>624.51</v>
      </c>
      <c r="L254">
        <f t="shared" si="14"/>
        <v>1300.7699999999998</v>
      </c>
      <c r="M254" s="4">
        <f t="shared" si="15"/>
        <v>18.745784695201035</v>
      </c>
    </row>
    <row r="255" spans="1:13" x14ac:dyDescent="0.3">
      <c r="A255" t="s">
        <v>472</v>
      </c>
      <c r="B255" t="s">
        <v>149</v>
      </c>
      <c r="C255" t="s">
        <v>29</v>
      </c>
      <c r="D255" t="s">
        <v>30</v>
      </c>
      <c r="E255" t="s">
        <v>59</v>
      </c>
      <c r="F255">
        <v>3652</v>
      </c>
      <c r="G255">
        <v>2039.63</v>
      </c>
      <c r="H255">
        <v>2</v>
      </c>
      <c r="I255" s="3">
        <v>0.14000000000000001</v>
      </c>
      <c r="J255">
        <f t="shared" si="12"/>
        <v>7304</v>
      </c>
      <c r="K255">
        <f t="shared" si="13"/>
        <v>1022.5600000000001</v>
      </c>
      <c r="L255">
        <f t="shared" si="14"/>
        <v>2202.1799999999998</v>
      </c>
      <c r="M255" s="4">
        <f t="shared" si="15"/>
        <v>30.150328587075574</v>
      </c>
    </row>
    <row r="256" spans="1:13" x14ac:dyDescent="0.3">
      <c r="A256" t="s">
        <v>473</v>
      </c>
      <c r="B256" t="s">
        <v>93</v>
      </c>
      <c r="C256" t="s">
        <v>29</v>
      </c>
      <c r="D256" t="s">
        <v>30</v>
      </c>
      <c r="E256" t="s">
        <v>31</v>
      </c>
      <c r="F256">
        <v>2324</v>
      </c>
      <c r="G256">
        <v>1616.36</v>
      </c>
      <c r="H256">
        <v>3</v>
      </c>
      <c r="I256" s="3">
        <v>0.06</v>
      </c>
      <c r="J256">
        <f t="shared" si="12"/>
        <v>6972</v>
      </c>
      <c r="K256">
        <f t="shared" si="13"/>
        <v>418.32</v>
      </c>
      <c r="L256">
        <f t="shared" si="14"/>
        <v>1704.6000000000001</v>
      </c>
      <c r="M256" s="4">
        <f t="shared" si="15"/>
        <v>24.44922547332186</v>
      </c>
    </row>
    <row r="257" spans="1:13" x14ac:dyDescent="0.3">
      <c r="A257" t="s">
        <v>474</v>
      </c>
      <c r="B257" t="s">
        <v>475</v>
      </c>
      <c r="C257" t="s">
        <v>15</v>
      </c>
      <c r="D257" t="s">
        <v>21</v>
      </c>
      <c r="E257" t="s">
        <v>62</v>
      </c>
      <c r="F257">
        <v>1357</v>
      </c>
      <c r="G257">
        <v>1019.72</v>
      </c>
      <c r="H257">
        <v>8</v>
      </c>
      <c r="I257" s="3">
        <v>7.0000000000000007E-2</v>
      </c>
      <c r="J257">
        <f t="shared" si="12"/>
        <v>10856</v>
      </c>
      <c r="K257">
        <f t="shared" si="13"/>
        <v>759.92000000000007</v>
      </c>
      <c r="L257">
        <f t="shared" si="14"/>
        <v>1938.3199999999997</v>
      </c>
      <c r="M257" s="4">
        <f t="shared" si="15"/>
        <v>17.854826823876195</v>
      </c>
    </row>
    <row r="258" spans="1:13" x14ac:dyDescent="0.3">
      <c r="A258" t="s">
        <v>476</v>
      </c>
      <c r="B258" t="s">
        <v>167</v>
      </c>
      <c r="C258" t="s">
        <v>15</v>
      </c>
      <c r="D258" t="s">
        <v>21</v>
      </c>
      <c r="E258" t="s">
        <v>62</v>
      </c>
      <c r="F258">
        <v>979</v>
      </c>
      <c r="G258">
        <v>732.89</v>
      </c>
      <c r="H258">
        <v>4</v>
      </c>
      <c r="I258" s="3">
        <v>0.05</v>
      </c>
      <c r="J258">
        <f t="shared" ref="J258:J321" si="16">F258*H258</f>
        <v>3916</v>
      </c>
      <c r="K258">
        <f t="shared" ref="K258:K321" si="17">J258*I258</f>
        <v>195.8</v>
      </c>
      <c r="L258">
        <f t="shared" ref="L258:L321" si="18">J258-(G258*H258)-K258</f>
        <v>788.6400000000001</v>
      </c>
      <c r="M258" s="4">
        <f t="shared" ref="M258:M321" si="19">(L258/J258)*100</f>
        <v>20.13891726251277</v>
      </c>
    </row>
    <row r="259" spans="1:13" x14ac:dyDescent="0.3">
      <c r="A259" t="s">
        <v>477</v>
      </c>
      <c r="B259" t="s">
        <v>478</v>
      </c>
      <c r="C259" t="s">
        <v>15</v>
      </c>
      <c r="D259" t="s">
        <v>21</v>
      </c>
      <c r="E259" t="s">
        <v>22</v>
      </c>
      <c r="F259">
        <v>1196</v>
      </c>
      <c r="G259">
        <v>908.62</v>
      </c>
      <c r="H259">
        <v>2</v>
      </c>
      <c r="I259" s="3">
        <v>0.21</v>
      </c>
      <c r="J259">
        <f t="shared" si="16"/>
        <v>2392</v>
      </c>
      <c r="K259">
        <f t="shared" si="17"/>
        <v>502.32</v>
      </c>
      <c r="L259">
        <f t="shared" si="18"/>
        <v>72.44</v>
      </c>
      <c r="M259" s="4">
        <f t="shared" si="19"/>
        <v>3.0284280936454846</v>
      </c>
    </row>
    <row r="260" spans="1:13" x14ac:dyDescent="0.3">
      <c r="A260" t="s">
        <v>479</v>
      </c>
      <c r="B260" t="s">
        <v>480</v>
      </c>
      <c r="C260" t="s">
        <v>20</v>
      </c>
      <c r="D260" t="s">
        <v>30</v>
      </c>
      <c r="E260" t="s">
        <v>56</v>
      </c>
      <c r="F260">
        <v>3971</v>
      </c>
      <c r="G260">
        <v>3325.11</v>
      </c>
      <c r="H260">
        <v>4</v>
      </c>
      <c r="I260" s="3">
        <v>0.1</v>
      </c>
      <c r="J260">
        <f t="shared" si="16"/>
        <v>15884</v>
      </c>
      <c r="K260">
        <f t="shared" si="17"/>
        <v>1588.4</v>
      </c>
      <c r="L260">
        <f t="shared" si="18"/>
        <v>995.1599999999994</v>
      </c>
      <c r="M260" s="4">
        <f t="shared" si="19"/>
        <v>6.2651725006295607</v>
      </c>
    </row>
    <row r="261" spans="1:13" x14ac:dyDescent="0.3">
      <c r="A261" t="s">
        <v>481</v>
      </c>
      <c r="B261" t="s">
        <v>292</v>
      </c>
      <c r="C261" t="s">
        <v>29</v>
      </c>
      <c r="D261" t="s">
        <v>30</v>
      </c>
      <c r="E261" t="s">
        <v>59</v>
      </c>
      <c r="F261">
        <v>2370</v>
      </c>
      <c r="G261">
        <v>1656.25</v>
      </c>
      <c r="H261">
        <v>3</v>
      </c>
      <c r="I261" s="3">
        <v>0.23</v>
      </c>
      <c r="J261">
        <f t="shared" si="16"/>
        <v>7110</v>
      </c>
      <c r="K261">
        <f t="shared" si="17"/>
        <v>1635.3000000000002</v>
      </c>
      <c r="L261">
        <f t="shared" si="18"/>
        <v>505.94999999999982</v>
      </c>
      <c r="M261" s="4">
        <f t="shared" si="19"/>
        <v>7.116033755274259</v>
      </c>
    </row>
    <row r="262" spans="1:13" x14ac:dyDescent="0.3">
      <c r="A262" t="s">
        <v>482</v>
      </c>
      <c r="B262" t="s">
        <v>483</v>
      </c>
      <c r="C262" t="s">
        <v>20</v>
      </c>
      <c r="D262" t="s">
        <v>21</v>
      </c>
      <c r="E262" t="s">
        <v>62</v>
      </c>
      <c r="F262">
        <v>1243</v>
      </c>
      <c r="G262">
        <v>912.91</v>
      </c>
      <c r="H262">
        <v>3</v>
      </c>
      <c r="I262" s="3">
        <v>0.06</v>
      </c>
      <c r="J262">
        <f t="shared" si="16"/>
        <v>3729</v>
      </c>
      <c r="K262">
        <f t="shared" si="17"/>
        <v>223.73999999999998</v>
      </c>
      <c r="L262">
        <f t="shared" si="18"/>
        <v>766.53</v>
      </c>
      <c r="M262" s="4">
        <f t="shared" si="19"/>
        <v>20.555913113435238</v>
      </c>
    </row>
    <row r="263" spans="1:13" x14ac:dyDescent="0.3">
      <c r="A263" t="s">
        <v>484</v>
      </c>
      <c r="B263" t="s">
        <v>485</v>
      </c>
      <c r="C263" t="s">
        <v>15</v>
      </c>
      <c r="D263" t="s">
        <v>30</v>
      </c>
      <c r="E263" t="s">
        <v>31</v>
      </c>
      <c r="F263">
        <v>3388</v>
      </c>
      <c r="G263">
        <v>2206.38</v>
      </c>
      <c r="H263">
        <v>3</v>
      </c>
      <c r="I263" s="3">
        <v>0.1</v>
      </c>
      <c r="J263">
        <f t="shared" si="16"/>
        <v>10164</v>
      </c>
      <c r="K263">
        <f t="shared" si="17"/>
        <v>1016.4000000000001</v>
      </c>
      <c r="L263">
        <f t="shared" si="18"/>
        <v>2528.4599999999996</v>
      </c>
      <c r="M263" s="4">
        <f t="shared" si="19"/>
        <v>24.876623376623371</v>
      </c>
    </row>
    <row r="264" spans="1:13" x14ac:dyDescent="0.3">
      <c r="A264" t="s">
        <v>486</v>
      </c>
      <c r="B264" t="s">
        <v>131</v>
      </c>
      <c r="C264" t="s">
        <v>25</v>
      </c>
      <c r="D264" t="s">
        <v>16</v>
      </c>
      <c r="E264" t="s">
        <v>40</v>
      </c>
      <c r="F264">
        <v>2999</v>
      </c>
      <c r="G264">
        <v>1885.2</v>
      </c>
      <c r="H264">
        <v>7</v>
      </c>
      <c r="I264" s="3">
        <v>0.37</v>
      </c>
      <c r="J264">
        <f t="shared" si="16"/>
        <v>20993</v>
      </c>
      <c r="K264">
        <f t="shared" si="17"/>
        <v>7767.41</v>
      </c>
      <c r="L264">
        <f t="shared" si="18"/>
        <v>29.190000000000509</v>
      </c>
      <c r="M264" s="4">
        <f t="shared" si="19"/>
        <v>0.13904634878293007</v>
      </c>
    </row>
    <row r="265" spans="1:13" x14ac:dyDescent="0.3">
      <c r="A265" t="s">
        <v>487</v>
      </c>
      <c r="B265" t="s">
        <v>233</v>
      </c>
      <c r="C265" t="s">
        <v>15</v>
      </c>
      <c r="D265" t="s">
        <v>21</v>
      </c>
      <c r="E265" t="s">
        <v>37</v>
      </c>
      <c r="F265">
        <v>590</v>
      </c>
      <c r="G265">
        <v>480.93</v>
      </c>
      <c r="H265">
        <v>8</v>
      </c>
      <c r="I265" s="3">
        <v>0.09</v>
      </c>
      <c r="J265">
        <f t="shared" si="16"/>
        <v>4720</v>
      </c>
      <c r="K265">
        <f t="shared" si="17"/>
        <v>424.8</v>
      </c>
      <c r="L265">
        <f t="shared" si="18"/>
        <v>447.75999999999993</v>
      </c>
      <c r="M265" s="4">
        <f t="shared" si="19"/>
        <v>9.4864406779660992</v>
      </c>
    </row>
    <row r="266" spans="1:13" x14ac:dyDescent="0.3">
      <c r="A266" t="s">
        <v>488</v>
      </c>
      <c r="B266" t="s">
        <v>489</v>
      </c>
      <c r="C266" t="s">
        <v>15</v>
      </c>
      <c r="D266" t="s">
        <v>30</v>
      </c>
      <c r="E266" t="s">
        <v>31</v>
      </c>
      <c r="F266">
        <v>2499</v>
      </c>
      <c r="G266">
        <v>1677.87</v>
      </c>
      <c r="H266">
        <v>8</v>
      </c>
      <c r="I266" s="3">
        <v>0.21</v>
      </c>
      <c r="J266">
        <f t="shared" si="16"/>
        <v>19992</v>
      </c>
      <c r="K266">
        <f t="shared" si="17"/>
        <v>4198.32</v>
      </c>
      <c r="L266">
        <f t="shared" si="18"/>
        <v>2370.7200000000012</v>
      </c>
      <c r="M266" s="4">
        <f t="shared" si="19"/>
        <v>11.85834333733494</v>
      </c>
    </row>
    <row r="267" spans="1:13" x14ac:dyDescent="0.3">
      <c r="A267" t="s">
        <v>490</v>
      </c>
      <c r="B267" t="s">
        <v>491</v>
      </c>
      <c r="C267" t="s">
        <v>20</v>
      </c>
      <c r="D267" t="s">
        <v>16</v>
      </c>
      <c r="E267" t="s">
        <v>40</v>
      </c>
      <c r="F267">
        <v>3548</v>
      </c>
      <c r="G267">
        <v>2482.19</v>
      </c>
      <c r="H267">
        <v>10</v>
      </c>
      <c r="I267" s="3">
        <v>0.23</v>
      </c>
      <c r="J267">
        <f t="shared" si="16"/>
        <v>35480</v>
      </c>
      <c r="K267">
        <f t="shared" si="17"/>
        <v>8160.4000000000005</v>
      </c>
      <c r="L267">
        <f t="shared" si="18"/>
        <v>2497.699999999998</v>
      </c>
      <c r="M267" s="4">
        <f t="shared" si="19"/>
        <v>7.0397406989853373</v>
      </c>
    </row>
    <row r="268" spans="1:13" x14ac:dyDescent="0.3">
      <c r="A268" t="s">
        <v>492</v>
      </c>
      <c r="B268" t="s">
        <v>202</v>
      </c>
      <c r="C268" t="s">
        <v>20</v>
      </c>
      <c r="D268" t="s">
        <v>21</v>
      </c>
      <c r="E268" t="s">
        <v>47</v>
      </c>
      <c r="F268">
        <v>1548</v>
      </c>
      <c r="G268">
        <v>1122.4000000000001</v>
      </c>
      <c r="H268">
        <v>6</v>
      </c>
      <c r="I268" s="3">
        <v>0.05</v>
      </c>
      <c r="J268">
        <f t="shared" si="16"/>
        <v>9288</v>
      </c>
      <c r="K268">
        <f t="shared" si="17"/>
        <v>464.40000000000003</v>
      </c>
      <c r="L268">
        <f t="shared" si="18"/>
        <v>2089.1999999999994</v>
      </c>
      <c r="M268" s="4">
        <f t="shared" si="19"/>
        <v>22.493540051679581</v>
      </c>
    </row>
    <row r="269" spans="1:13" x14ac:dyDescent="0.3">
      <c r="A269" t="s">
        <v>493</v>
      </c>
      <c r="B269" t="s">
        <v>494</v>
      </c>
      <c r="C269" t="s">
        <v>25</v>
      </c>
      <c r="D269" t="s">
        <v>30</v>
      </c>
      <c r="E269" t="s">
        <v>59</v>
      </c>
      <c r="F269">
        <v>1954</v>
      </c>
      <c r="G269">
        <v>1167.21</v>
      </c>
      <c r="H269">
        <v>6</v>
      </c>
      <c r="I269" s="3">
        <v>0.25</v>
      </c>
      <c r="J269">
        <f t="shared" si="16"/>
        <v>11724</v>
      </c>
      <c r="K269">
        <f t="shared" si="17"/>
        <v>2931</v>
      </c>
      <c r="L269">
        <f t="shared" si="18"/>
        <v>1789.7399999999998</v>
      </c>
      <c r="M269" s="4">
        <f t="shared" si="19"/>
        <v>15.265609007164787</v>
      </c>
    </row>
    <row r="270" spans="1:13" x14ac:dyDescent="0.3">
      <c r="A270" t="s">
        <v>495</v>
      </c>
      <c r="B270" t="s">
        <v>129</v>
      </c>
      <c r="C270" t="s">
        <v>15</v>
      </c>
      <c r="D270" t="s">
        <v>21</v>
      </c>
      <c r="E270" t="s">
        <v>47</v>
      </c>
      <c r="F270">
        <v>2309</v>
      </c>
      <c r="G270">
        <v>1431.7</v>
      </c>
      <c r="H270">
        <v>3</v>
      </c>
      <c r="I270" s="3">
        <v>0.13</v>
      </c>
      <c r="J270">
        <f t="shared" si="16"/>
        <v>6927</v>
      </c>
      <c r="K270">
        <f t="shared" si="17"/>
        <v>900.51</v>
      </c>
      <c r="L270">
        <f t="shared" si="18"/>
        <v>1731.3899999999996</v>
      </c>
      <c r="M270" s="4">
        <f t="shared" si="19"/>
        <v>24.994802944997829</v>
      </c>
    </row>
    <row r="271" spans="1:13" x14ac:dyDescent="0.3">
      <c r="A271" t="s">
        <v>496</v>
      </c>
      <c r="B271" t="s">
        <v>213</v>
      </c>
      <c r="C271" t="s">
        <v>25</v>
      </c>
      <c r="D271" t="s">
        <v>16</v>
      </c>
      <c r="E271" t="s">
        <v>26</v>
      </c>
      <c r="F271">
        <v>5030</v>
      </c>
      <c r="G271">
        <v>3875.44</v>
      </c>
      <c r="H271">
        <v>7</v>
      </c>
      <c r="I271" s="3">
        <v>0.37</v>
      </c>
      <c r="J271">
        <f t="shared" si="16"/>
        <v>35210</v>
      </c>
      <c r="K271">
        <f t="shared" si="17"/>
        <v>13027.7</v>
      </c>
      <c r="L271">
        <f t="shared" si="18"/>
        <v>-4945.7800000000025</v>
      </c>
      <c r="M271" s="4">
        <f t="shared" si="19"/>
        <v>-14.046520874751497</v>
      </c>
    </row>
    <row r="272" spans="1:13" x14ac:dyDescent="0.3">
      <c r="A272" t="s">
        <v>497</v>
      </c>
      <c r="B272" t="s">
        <v>498</v>
      </c>
      <c r="C272" t="s">
        <v>25</v>
      </c>
      <c r="D272" t="s">
        <v>16</v>
      </c>
      <c r="E272" t="s">
        <v>85</v>
      </c>
      <c r="F272">
        <v>5467</v>
      </c>
      <c r="G272">
        <v>3964.03</v>
      </c>
      <c r="H272">
        <v>10</v>
      </c>
      <c r="I272" s="3">
        <v>0.22</v>
      </c>
      <c r="J272">
        <f t="shared" si="16"/>
        <v>54670</v>
      </c>
      <c r="K272">
        <f t="shared" si="17"/>
        <v>12027.4</v>
      </c>
      <c r="L272">
        <f t="shared" si="18"/>
        <v>3002.2999999999975</v>
      </c>
      <c r="M272" s="4">
        <f t="shared" si="19"/>
        <v>5.4916773367477543</v>
      </c>
    </row>
    <row r="273" spans="1:13" x14ac:dyDescent="0.3">
      <c r="A273" t="s">
        <v>499</v>
      </c>
      <c r="B273" t="s">
        <v>500</v>
      </c>
      <c r="C273" t="s">
        <v>15</v>
      </c>
      <c r="D273" t="s">
        <v>30</v>
      </c>
      <c r="E273" t="s">
        <v>56</v>
      </c>
      <c r="F273">
        <v>3330</v>
      </c>
      <c r="G273">
        <v>2788.01</v>
      </c>
      <c r="H273">
        <v>2</v>
      </c>
      <c r="I273" s="3">
        <v>0.17</v>
      </c>
      <c r="J273">
        <f t="shared" si="16"/>
        <v>6660</v>
      </c>
      <c r="K273">
        <f t="shared" si="17"/>
        <v>1132.2</v>
      </c>
      <c r="L273">
        <f t="shared" si="18"/>
        <v>-48.220000000000482</v>
      </c>
      <c r="M273" s="4">
        <f t="shared" si="19"/>
        <v>-0.72402402402403121</v>
      </c>
    </row>
    <row r="274" spans="1:13" x14ac:dyDescent="0.3">
      <c r="A274" t="s">
        <v>501</v>
      </c>
      <c r="B274" t="s">
        <v>356</v>
      </c>
      <c r="C274" t="s">
        <v>29</v>
      </c>
      <c r="D274" t="s">
        <v>30</v>
      </c>
      <c r="E274" t="s">
        <v>56</v>
      </c>
      <c r="F274">
        <v>1833</v>
      </c>
      <c r="G274">
        <v>1054.92</v>
      </c>
      <c r="H274">
        <v>6</v>
      </c>
      <c r="I274" s="3">
        <v>0.01</v>
      </c>
      <c r="J274">
        <f t="shared" si="16"/>
        <v>10998</v>
      </c>
      <c r="K274">
        <f t="shared" si="17"/>
        <v>109.98</v>
      </c>
      <c r="L274">
        <f t="shared" si="18"/>
        <v>4558.5</v>
      </c>
      <c r="M274" s="4">
        <f t="shared" si="19"/>
        <v>41.448445171849428</v>
      </c>
    </row>
    <row r="275" spans="1:13" x14ac:dyDescent="0.3">
      <c r="A275" t="s">
        <v>502</v>
      </c>
      <c r="B275" t="s">
        <v>503</v>
      </c>
      <c r="C275" t="s">
        <v>20</v>
      </c>
      <c r="D275" t="s">
        <v>16</v>
      </c>
      <c r="E275" t="s">
        <v>17</v>
      </c>
      <c r="F275">
        <v>5336</v>
      </c>
      <c r="G275">
        <v>3982.37</v>
      </c>
      <c r="H275">
        <v>6</v>
      </c>
      <c r="I275" s="3">
        <v>0.17</v>
      </c>
      <c r="J275">
        <f t="shared" si="16"/>
        <v>32016</v>
      </c>
      <c r="K275">
        <f t="shared" si="17"/>
        <v>5442.72</v>
      </c>
      <c r="L275">
        <f t="shared" si="18"/>
        <v>2679.0599999999986</v>
      </c>
      <c r="M275" s="4">
        <f t="shared" si="19"/>
        <v>8.3678785607196353</v>
      </c>
    </row>
    <row r="276" spans="1:13" x14ac:dyDescent="0.3">
      <c r="A276" t="s">
        <v>504</v>
      </c>
      <c r="B276" t="s">
        <v>505</v>
      </c>
      <c r="C276" t="s">
        <v>29</v>
      </c>
      <c r="D276" t="s">
        <v>16</v>
      </c>
      <c r="E276" t="s">
        <v>40</v>
      </c>
      <c r="F276">
        <v>3074</v>
      </c>
      <c r="G276">
        <v>2327.52</v>
      </c>
      <c r="H276">
        <v>7</v>
      </c>
      <c r="I276" s="3">
        <v>0.21</v>
      </c>
      <c r="J276">
        <f t="shared" si="16"/>
        <v>21518</v>
      </c>
      <c r="K276">
        <f t="shared" si="17"/>
        <v>4518.78</v>
      </c>
      <c r="L276">
        <f t="shared" si="18"/>
        <v>706.58000000000084</v>
      </c>
      <c r="M276" s="4">
        <f t="shared" si="19"/>
        <v>3.283669486011715</v>
      </c>
    </row>
    <row r="277" spans="1:13" x14ac:dyDescent="0.3">
      <c r="A277" t="s">
        <v>506</v>
      </c>
      <c r="B277" t="s">
        <v>507</v>
      </c>
      <c r="C277" t="s">
        <v>15</v>
      </c>
      <c r="D277" t="s">
        <v>16</v>
      </c>
      <c r="E277" t="s">
        <v>85</v>
      </c>
      <c r="F277">
        <v>5053</v>
      </c>
      <c r="G277">
        <v>2893.61</v>
      </c>
      <c r="H277">
        <v>4</v>
      </c>
      <c r="I277" s="3">
        <v>0.05</v>
      </c>
      <c r="J277">
        <f t="shared" si="16"/>
        <v>20212</v>
      </c>
      <c r="K277">
        <f t="shared" si="17"/>
        <v>1010.6</v>
      </c>
      <c r="L277">
        <f t="shared" si="18"/>
        <v>7626.9599999999991</v>
      </c>
      <c r="M277" s="4">
        <f t="shared" si="19"/>
        <v>37.734811003364335</v>
      </c>
    </row>
    <row r="278" spans="1:13" x14ac:dyDescent="0.3">
      <c r="A278" t="s">
        <v>508</v>
      </c>
      <c r="B278" t="s">
        <v>398</v>
      </c>
      <c r="C278" t="s">
        <v>25</v>
      </c>
      <c r="D278" t="s">
        <v>21</v>
      </c>
      <c r="E278" t="s">
        <v>22</v>
      </c>
      <c r="F278">
        <v>1307</v>
      </c>
      <c r="G278">
        <v>847.11</v>
      </c>
      <c r="H278">
        <v>3</v>
      </c>
      <c r="I278" s="3">
        <v>0.38</v>
      </c>
      <c r="J278">
        <f t="shared" si="16"/>
        <v>3921</v>
      </c>
      <c r="K278">
        <f t="shared" si="17"/>
        <v>1489.98</v>
      </c>
      <c r="L278">
        <f t="shared" si="18"/>
        <v>-110.30999999999995</v>
      </c>
      <c r="M278" s="4">
        <f t="shared" si="19"/>
        <v>-2.8133129303749027</v>
      </c>
    </row>
    <row r="279" spans="1:13" x14ac:dyDescent="0.3">
      <c r="A279" t="s">
        <v>509</v>
      </c>
      <c r="B279" t="s">
        <v>159</v>
      </c>
      <c r="C279" t="s">
        <v>25</v>
      </c>
      <c r="D279" t="s">
        <v>30</v>
      </c>
      <c r="E279" t="s">
        <v>34</v>
      </c>
      <c r="F279">
        <v>3934</v>
      </c>
      <c r="G279">
        <v>2298.4699999999998</v>
      </c>
      <c r="H279">
        <v>5</v>
      </c>
      <c r="I279" s="3">
        <v>0.3</v>
      </c>
      <c r="J279">
        <f t="shared" si="16"/>
        <v>19670</v>
      </c>
      <c r="K279">
        <f t="shared" si="17"/>
        <v>5901</v>
      </c>
      <c r="L279">
        <f t="shared" si="18"/>
        <v>2276.6500000000015</v>
      </c>
      <c r="M279" s="4">
        <f t="shared" si="19"/>
        <v>11.574224707676672</v>
      </c>
    </row>
    <row r="280" spans="1:13" x14ac:dyDescent="0.3">
      <c r="A280" t="s">
        <v>510</v>
      </c>
      <c r="B280" t="s">
        <v>196</v>
      </c>
      <c r="C280" t="s">
        <v>20</v>
      </c>
      <c r="D280" t="s">
        <v>30</v>
      </c>
      <c r="E280" t="s">
        <v>56</v>
      </c>
      <c r="F280">
        <v>2752</v>
      </c>
      <c r="G280">
        <v>1940.6</v>
      </c>
      <c r="H280">
        <v>2</v>
      </c>
      <c r="I280" s="3">
        <v>0.04</v>
      </c>
      <c r="J280">
        <f t="shared" si="16"/>
        <v>5504</v>
      </c>
      <c r="K280">
        <f t="shared" si="17"/>
        <v>220.16</v>
      </c>
      <c r="L280">
        <f t="shared" si="18"/>
        <v>1402.64</v>
      </c>
      <c r="M280" s="4">
        <f t="shared" si="19"/>
        <v>25.484011627906977</v>
      </c>
    </row>
    <row r="281" spans="1:13" x14ac:dyDescent="0.3">
      <c r="A281" t="s">
        <v>511</v>
      </c>
      <c r="B281" t="s">
        <v>188</v>
      </c>
      <c r="C281" t="s">
        <v>15</v>
      </c>
      <c r="D281" t="s">
        <v>30</v>
      </c>
      <c r="E281" t="s">
        <v>34</v>
      </c>
      <c r="F281">
        <v>3769</v>
      </c>
      <c r="G281">
        <v>2611.5300000000002</v>
      </c>
      <c r="H281">
        <v>1</v>
      </c>
      <c r="I281" s="3">
        <v>0.01</v>
      </c>
      <c r="J281">
        <f t="shared" si="16"/>
        <v>3769</v>
      </c>
      <c r="K281">
        <f t="shared" si="17"/>
        <v>37.69</v>
      </c>
      <c r="L281">
        <f t="shared" si="18"/>
        <v>1119.7799999999997</v>
      </c>
      <c r="M281" s="4">
        <f t="shared" si="19"/>
        <v>29.710267975590337</v>
      </c>
    </row>
    <row r="282" spans="1:13" x14ac:dyDescent="0.3">
      <c r="A282" t="s">
        <v>512</v>
      </c>
      <c r="B282" t="s">
        <v>513</v>
      </c>
      <c r="C282" t="s">
        <v>20</v>
      </c>
      <c r="D282" t="s">
        <v>21</v>
      </c>
      <c r="E282" t="s">
        <v>37</v>
      </c>
      <c r="F282">
        <v>2468</v>
      </c>
      <c r="G282">
        <v>1994.02</v>
      </c>
      <c r="H282">
        <v>7</v>
      </c>
      <c r="I282" s="3">
        <v>0.11</v>
      </c>
      <c r="J282">
        <f t="shared" si="16"/>
        <v>17276</v>
      </c>
      <c r="K282">
        <f t="shared" si="17"/>
        <v>1900.36</v>
      </c>
      <c r="L282">
        <f t="shared" si="18"/>
        <v>1417.5000000000007</v>
      </c>
      <c r="M282" s="4">
        <f t="shared" si="19"/>
        <v>8.2050243111831485</v>
      </c>
    </row>
    <row r="283" spans="1:13" x14ac:dyDescent="0.3">
      <c r="A283" t="s">
        <v>514</v>
      </c>
      <c r="B283" t="s">
        <v>468</v>
      </c>
      <c r="C283" t="s">
        <v>25</v>
      </c>
      <c r="D283" t="s">
        <v>21</v>
      </c>
      <c r="E283" t="s">
        <v>62</v>
      </c>
      <c r="F283">
        <v>1674</v>
      </c>
      <c r="G283">
        <v>1056.45</v>
      </c>
      <c r="H283">
        <v>5</v>
      </c>
      <c r="I283" s="3">
        <v>0.2</v>
      </c>
      <c r="J283">
        <f t="shared" si="16"/>
        <v>8370</v>
      </c>
      <c r="K283">
        <f t="shared" si="17"/>
        <v>1674</v>
      </c>
      <c r="L283">
        <f t="shared" si="18"/>
        <v>1413.75</v>
      </c>
      <c r="M283" s="4">
        <f t="shared" si="19"/>
        <v>16.890681003584231</v>
      </c>
    </row>
    <row r="284" spans="1:13" x14ac:dyDescent="0.3">
      <c r="A284" t="s">
        <v>515</v>
      </c>
      <c r="B284" t="s">
        <v>313</v>
      </c>
      <c r="C284" t="s">
        <v>20</v>
      </c>
      <c r="D284" t="s">
        <v>16</v>
      </c>
      <c r="E284" t="s">
        <v>17</v>
      </c>
      <c r="F284">
        <v>5884</v>
      </c>
      <c r="G284">
        <v>3896.45</v>
      </c>
      <c r="H284">
        <v>5</v>
      </c>
      <c r="I284" s="3">
        <v>0.01</v>
      </c>
      <c r="J284">
        <f t="shared" si="16"/>
        <v>29420</v>
      </c>
      <c r="K284">
        <f t="shared" si="17"/>
        <v>294.2</v>
      </c>
      <c r="L284">
        <f t="shared" si="18"/>
        <v>9643.5499999999993</v>
      </c>
      <c r="M284" s="4">
        <f t="shared" si="19"/>
        <v>32.778891910265123</v>
      </c>
    </row>
    <row r="285" spans="1:13" x14ac:dyDescent="0.3">
      <c r="A285" t="s">
        <v>516</v>
      </c>
      <c r="B285" t="s">
        <v>246</v>
      </c>
      <c r="C285" t="s">
        <v>25</v>
      </c>
      <c r="D285" t="s">
        <v>21</v>
      </c>
      <c r="E285" t="s">
        <v>62</v>
      </c>
      <c r="F285">
        <v>2309</v>
      </c>
      <c r="G285">
        <v>1287.27</v>
      </c>
      <c r="H285">
        <v>2</v>
      </c>
      <c r="I285" s="3">
        <v>0.24</v>
      </c>
      <c r="J285">
        <f t="shared" si="16"/>
        <v>4618</v>
      </c>
      <c r="K285">
        <f t="shared" si="17"/>
        <v>1108.32</v>
      </c>
      <c r="L285">
        <f t="shared" si="18"/>
        <v>935.1400000000001</v>
      </c>
      <c r="M285" s="4">
        <f t="shared" si="19"/>
        <v>20.249891728020792</v>
      </c>
    </row>
    <row r="286" spans="1:13" x14ac:dyDescent="0.3">
      <c r="A286" t="s">
        <v>517</v>
      </c>
      <c r="B286" t="s">
        <v>190</v>
      </c>
      <c r="C286" t="s">
        <v>20</v>
      </c>
      <c r="D286" t="s">
        <v>16</v>
      </c>
      <c r="E286" t="s">
        <v>40</v>
      </c>
      <c r="F286">
        <v>2778</v>
      </c>
      <c r="G286">
        <v>2236.41</v>
      </c>
      <c r="H286">
        <v>6</v>
      </c>
      <c r="I286" s="3">
        <v>0.02</v>
      </c>
      <c r="J286">
        <f t="shared" si="16"/>
        <v>16668</v>
      </c>
      <c r="K286">
        <f t="shared" si="17"/>
        <v>333.36</v>
      </c>
      <c r="L286">
        <f t="shared" si="18"/>
        <v>2916.1800000000007</v>
      </c>
      <c r="M286" s="4">
        <f t="shared" si="19"/>
        <v>17.49568034557236</v>
      </c>
    </row>
    <row r="287" spans="1:13" x14ac:dyDescent="0.3">
      <c r="A287" t="s">
        <v>518</v>
      </c>
      <c r="B287" t="s">
        <v>305</v>
      </c>
      <c r="C287" t="s">
        <v>20</v>
      </c>
      <c r="D287" t="s">
        <v>16</v>
      </c>
      <c r="E287" t="s">
        <v>40</v>
      </c>
      <c r="F287">
        <v>2001</v>
      </c>
      <c r="G287">
        <v>1306.21</v>
      </c>
      <c r="H287">
        <v>7</v>
      </c>
      <c r="I287" s="3">
        <v>0.23</v>
      </c>
      <c r="J287">
        <f t="shared" si="16"/>
        <v>14007</v>
      </c>
      <c r="K287">
        <f t="shared" si="17"/>
        <v>3221.61</v>
      </c>
      <c r="L287">
        <f t="shared" si="18"/>
        <v>1641.9199999999987</v>
      </c>
      <c r="M287" s="4">
        <f t="shared" si="19"/>
        <v>11.722138930534722</v>
      </c>
    </row>
    <row r="288" spans="1:13" x14ac:dyDescent="0.3">
      <c r="A288" t="s">
        <v>519</v>
      </c>
      <c r="B288" t="s">
        <v>145</v>
      </c>
      <c r="C288" t="s">
        <v>20</v>
      </c>
      <c r="D288" t="s">
        <v>30</v>
      </c>
      <c r="E288" t="s">
        <v>59</v>
      </c>
      <c r="F288">
        <v>1548</v>
      </c>
      <c r="G288">
        <v>902.48</v>
      </c>
      <c r="H288">
        <v>10</v>
      </c>
      <c r="I288" s="3">
        <v>0.22</v>
      </c>
      <c r="J288">
        <f t="shared" si="16"/>
        <v>15480</v>
      </c>
      <c r="K288">
        <f t="shared" si="17"/>
        <v>3405.6</v>
      </c>
      <c r="L288">
        <f t="shared" si="18"/>
        <v>3049.6000000000008</v>
      </c>
      <c r="M288" s="4">
        <f t="shared" si="19"/>
        <v>19.700258397932821</v>
      </c>
    </row>
    <row r="289" spans="1:13" x14ac:dyDescent="0.3">
      <c r="A289" t="s">
        <v>520</v>
      </c>
      <c r="B289" t="s">
        <v>521</v>
      </c>
      <c r="C289" t="s">
        <v>20</v>
      </c>
      <c r="D289" t="s">
        <v>16</v>
      </c>
      <c r="E289" t="s">
        <v>26</v>
      </c>
      <c r="F289">
        <v>4285</v>
      </c>
      <c r="G289">
        <v>2436.17</v>
      </c>
      <c r="H289">
        <v>10</v>
      </c>
      <c r="I289" s="3">
        <v>0.05</v>
      </c>
      <c r="J289">
        <f t="shared" si="16"/>
        <v>42850</v>
      </c>
      <c r="K289">
        <f t="shared" si="17"/>
        <v>2142.5</v>
      </c>
      <c r="L289">
        <f t="shared" si="18"/>
        <v>16345.8</v>
      </c>
      <c r="M289" s="4">
        <f t="shared" si="19"/>
        <v>38.146557759626603</v>
      </c>
    </row>
    <row r="290" spans="1:13" x14ac:dyDescent="0.3">
      <c r="A290" t="s">
        <v>522</v>
      </c>
      <c r="B290" t="s">
        <v>361</v>
      </c>
      <c r="C290" t="s">
        <v>25</v>
      </c>
      <c r="D290" t="s">
        <v>16</v>
      </c>
      <c r="E290" t="s">
        <v>17</v>
      </c>
      <c r="F290">
        <v>2881</v>
      </c>
      <c r="G290">
        <v>2067.15</v>
      </c>
      <c r="H290">
        <v>2</v>
      </c>
      <c r="I290" s="3">
        <v>0.38</v>
      </c>
      <c r="J290">
        <f t="shared" si="16"/>
        <v>5762</v>
      </c>
      <c r="K290">
        <f t="shared" si="17"/>
        <v>2189.56</v>
      </c>
      <c r="L290">
        <f t="shared" si="18"/>
        <v>-561.86000000000013</v>
      </c>
      <c r="M290" s="4">
        <f t="shared" si="19"/>
        <v>-9.7511280805275966</v>
      </c>
    </row>
    <row r="291" spans="1:13" x14ac:dyDescent="0.3">
      <c r="A291" t="s">
        <v>523</v>
      </c>
      <c r="B291" t="s">
        <v>524</v>
      </c>
      <c r="C291" t="s">
        <v>15</v>
      </c>
      <c r="D291" t="s">
        <v>21</v>
      </c>
      <c r="E291" t="s">
        <v>22</v>
      </c>
      <c r="F291">
        <v>915</v>
      </c>
      <c r="G291">
        <v>696.5</v>
      </c>
      <c r="H291">
        <v>4</v>
      </c>
      <c r="I291" s="3">
        <v>0.23</v>
      </c>
      <c r="J291">
        <f t="shared" si="16"/>
        <v>3660</v>
      </c>
      <c r="K291">
        <f t="shared" si="17"/>
        <v>841.80000000000007</v>
      </c>
      <c r="L291">
        <f t="shared" si="18"/>
        <v>32.199999999999932</v>
      </c>
      <c r="M291" s="4">
        <f t="shared" si="19"/>
        <v>0.87978142076502541</v>
      </c>
    </row>
    <row r="292" spans="1:13" x14ac:dyDescent="0.3">
      <c r="A292" t="s">
        <v>525</v>
      </c>
      <c r="B292" t="s">
        <v>475</v>
      </c>
      <c r="C292" t="s">
        <v>15</v>
      </c>
      <c r="D292" t="s">
        <v>21</v>
      </c>
      <c r="E292" t="s">
        <v>62</v>
      </c>
      <c r="F292">
        <v>1847</v>
      </c>
      <c r="G292">
        <v>1028.4100000000001</v>
      </c>
      <c r="H292">
        <v>10</v>
      </c>
      <c r="I292" s="3">
        <v>0.08</v>
      </c>
      <c r="J292">
        <f t="shared" si="16"/>
        <v>18470</v>
      </c>
      <c r="K292">
        <f t="shared" si="17"/>
        <v>1477.6000000000001</v>
      </c>
      <c r="L292">
        <f t="shared" si="18"/>
        <v>6708.2999999999993</v>
      </c>
      <c r="M292" s="4">
        <f t="shared" si="19"/>
        <v>36.319978343259336</v>
      </c>
    </row>
    <row r="293" spans="1:13" x14ac:dyDescent="0.3">
      <c r="A293" t="s">
        <v>526</v>
      </c>
      <c r="B293" t="s">
        <v>279</v>
      </c>
      <c r="C293" t="s">
        <v>25</v>
      </c>
      <c r="D293" t="s">
        <v>16</v>
      </c>
      <c r="E293" t="s">
        <v>17</v>
      </c>
      <c r="F293">
        <v>4649</v>
      </c>
      <c r="G293">
        <v>2933.39</v>
      </c>
      <c r="H293">
        <v>5</v>
      </c>
      <c r="I293" s="3">
        <v>0.27</v>
      </c>
      <c r="J293">
        <f t="shared" si="16"/>
        <v>23245</v>
      </c>
      <c r="K293">
        <f t="shared" si="17"/>
        <v>6276.1500000000005</v>
      </c>
      <c r="L293">
        <f t="shared" si="18"/>
        <v>2301.9000000000005</v>
      </c>
      <c r="M293" s="4">
        <f t="shared" si="19"/>
        <v>9.9027747902774816</v>
      </c>
    </row>
    <row r="294" spans="1:13" x14ac:dyDescent="0.3">
      <c r="A294" t="s">
        <v>527</v>
      </c>
      <c r="B294" t="s">
        <v>129</v>
      </c>
      <c r="C294" t="s">
        <v>15</v>
      </c>
      <c r="D294" t="s">
        <v>21</v>
      </c>
      <c r="E294" t="s">
        <v>62</v>
      </c>
      <c r="F294">
        <v>1290</v>
      </c>
      <c r="G294">
        <v>756.62</v>
      </c>
      <c r="H294">
        <v>9</v>
      </c>
      <c r="I294" s="3">
        <v>0.12</v>
      </c>
      <c r="J294">
        <f t="shared" si="16"/>
        <v>11610</v>
      </c>
      <c r="K294">
        <f t="shared" si="17"/>
        <v>1393.2</v>
      </c>
      <c r="L294">
        <f t="shared" si="18"/>
        <v>3407.2200000000003</v>
      </c>
      <c r="M294" s="4">
        <f t="shared" si="19"/>
        <v>29.347286821705428</v>
      </c>
    </row>
    <row r="295" spans="1:13" x14ac:dyDescent="0.3">
      <c r="A295" t="s">
        <v>528</v>
      </c>
      <c r="B295" t="s">
        <v>120</v>
      </c>
      <c r="C295" t="s">
        <v>25</v>
      </c>
      <c r="D295" t="s">
        <v>30</v>
      </c>
      <c r="E295" t="s">
        <v>56</v>
      </c>
      <c r="F295">
        <v>1844</v>
      </c>
      <c r="G295">
        <v>1519.74</v>
      </c>
      <c r="H295">
        <v>3</v>
      </c>
      <c r="I295" s="3">
        <v>0.21</v>
      </c>
      <c r="J295">
        <f t="shared" si="16"/>
        <v>5532</v>
      </c>
      <c r="K295">
        <f t="shared" si="17"/>
        <v>1161.72</v>
      </c>
      <c r="L295">
        <f t="shared" si="18"/>
        <v>-188.94000000000028</v>
      </c>
      <c r="M295" s="4">
        <f t="shared" si="19"/>
        <v>-3.4154013015184432</v>
      </c>
    </row>
    <row r="296" spans="1:13" x14ac:dyDescent="0.3">
      <c r="A296" t="s">
        <v>529</v>
      </c>
      <c r="B296" t="s">
        <v>231</v>
      </c>
      <c r="C296" t="s">
        <v>29</v>
      </c>
      <c r="D296" t="s">
        <v>21</v>
      </c>
      <c r="E296" t="s">
        <v>47</v>
      </c>
      <c r="F296">
        <v>1286</v>
      </c>
      <c r="G296">
        <v>904.28</v>
      </c>
      <c r="H296">
        <v>9</v>
      </c>
      <c r="I296" s="3">
        <v>0.09</v>
      </c>
      <c r="J296">
        <f t="shared" si="16"/>
        <v>11574</v>
      </c>
      <c r="K296">
        <f t="shared" si="17"/>
        <v>1041.6599999999999</v>
      </c>
      <c r="L296">
        <f t="shared" si="18"/>
        <v>2393.8200000000006</v>
      </c>
      <c r="M296" s="4">
        <f t="shared" si="19"/>
        <v>20.682737169517889</v>
      </c>
    </row>
    <row r="297" spans="1:13" x14ac:dyDescent="0.3">
      <c r="A297" t="s">
        <v>530</v>
      </c>
      <c r="B297" t="s">
        <v>380</v>
      </c>
      <c r="C297" t="s">
        <v>29</v>
      </c>
      <c r="D297" t="s">
        <v>21</v>
      </c>
      <c r="E297" t="s">
        <v>62</v>
      </c>
      <c r="F297">
        <v>918</v>
      </c>
      <c r="G297">
        <v>610.41999999999996</v>
      </c>
      <c r="H297">
        <v>7</v>
      </c>
      <c r="I297" s="3">
        <v>0.11</v>
      </c>
      <c r="J297">
        <f t="shared" si="16"/>
        <v>6426</v>
      </c>
      <c r="K297">
        <f t="shared" si="17"/>
        <v>706.86</v>
      </c>
      <c r="L297">
        <f t="shared" si="18"/>
        <v>1446.2000000000003</v>
      </c>
      <c r="M297" s="4">
        <f t="shared" si="19"/>
        <v>22.505446623093686</v>
      </c>
    </row>
    <row r="298" spans="1:13" x14ac:dyDescent="0.3">
      <c r="A298" t="s">
        <v>531</v>
      </c>
      <c r="B298" t="s">
        <v>532</v>
      </c>
      <c r="C298" t="s">
        <v>15</v>
      </c>
      <c r="D298" t="s">
        <v>30</v>
      </c>
      <c r="E298" t="s">
        <v>31</v>
      </c>
      <c r="F298">
        <v>3199</v>
      </c>
      <c r="G298">
        <v>2492.0100000000002</v>
      </c>
      <c r="H298">
        <v>1</v>
      </c>
      <c r="I298" s="3">
        <v>0.03</v>
      </c>
      <c r="J298">
        <f t="shared" si="16"/>
        <v>3199</v>
      </c>
      <c r="K298">
        <f t="shared" si="17"/>
        <v>95.97</v>
      </c>
      <c r="L298">
        <f t="shared" si="18"/>
        <v>611.01999999999975</v>
      </c>
      <c r="M298" s="4">
        <f t="shared" si="19"/>
        <v>19.100343857455449</v>
      </c>
    </row>
    <row r="299" spans="1:13" x14ac:dyDescent="0.3">
      <c r="A299" t="s">
        <v>533</v>
      </c>
      <c r="B299" t="s">
        <v>534</v>
      </c>
      <c r="C299" t="s">
        <v>25</v>
      </c>
      <c r="D299" t="s">
        <v>16</v>
      </c>
      <c r="E299" t="s">
        <v>26</v>
      </c>
      <c r="F299">
        <v>4709</v>
      </c>
      <c r="G299">
        <v>3742.18</v>
      </c>
      <c r="H299">
        <v>1</v>
      </c>
      <c r="I299" s="3">
        <v>0.28000000000000003</v>
      </c>
      <c r="J299">
        <f t="shared" si="16"/>
        <v>4709</v>
      </c>
      <c r="K299">
        <f t="shared" si="17"/>
        <v>1318.5200000000002</v>
      </c>
      <c r="L299">
        <f t="shared" si="18"/>
        <v>-351.70000000000005</v>
      </c>
      <c r="M299" s="4">
        <f t="shared" si="19"/>
        <v>-7.4686770014865163</v>
      </c>
    </row>
    <row r="300" spans="1:13" x14ac:dyDescent="0.3">
      <c r="A300" t="s">
        <v>535</v>
      </c>
      <c r="B300" t="s">
        <v>24</v>
      </c>
      <c r="C300" t="s">
        <v>15</v>
      </c>
      <c r="D300" t="s">
        <v>16</v>
      </c>
      <c r="E300" t="s">
        <v>17</v>
      </c>
      <c r="F300">
        <v>2053</v>
      </c>
      <c r="G300">
        <v>1406.45</v>
      </c>
      <c r="H300">
        <v>3</v>
      </c>
      <c r="I300" s="3">
        <v>0.22</v>
      </c>
      <c r="J300">
        <f t="shared" si="16"/>
        <v>6159</v>
      </c>
      <c r="K300">
        <f t="shared" si="17"/>
        <v>1354.98</v>
      </c>
      <c r="L300">
        <f t="shared" si="18"/>
        <v>584.66999999999962</v>
      </c>
      <c r="M300" s="4">
        <f t="shared" si="19"/>
        <v>9.4929371651242018</v>
      </c>
    </row>
    <row r="301" spans="1:13" x14ac:dyDescent="0.3">
      <c r="A301" t="s">
        <v>536</v>
      </c>
      <c r="B301" t="s">
        <v>537</v>
      </c>
      <c r="C301" t="s">
        <v>25</v>
      </c>
      <c r="D301" t="s">
        <v>21</v>
      </c>
      <c r="E301" t="s">
        <v>62</v>
      </c>
      <c r="F301">
        <v>744</v>
      </c>
      <c r="G301">
        <v>477.67</v>
      </c>
      <c r="H301">
        <v>8</v>
      </c>
      <c r="I301" s="3">
        <v>0.33</v>
      </c>
      <c r="J301">
        <f t="shared" si="16"/>
        <v>5952</v>
      </c>
      <c r="K301">
        <f t="shared" si="17"/>
        <v>1964.16</v>
      </c>
      <c r="L301">
        <f t="shared" si="18"/>
        <v>166.47999999999979</v>
      </c>
      <c r="M301" s="4">
        <f t="shared" si="19"/>
        <v>2.7970430107526845</v>
      </c>
    </row>
    <row r="302" spans="1:13" x14ac:dyDescent="0.3">
      <c r="A302" t="s">
        <v>538</v>
      </c>
      <c r="B302" t="s">
        <v>505</v>
      </c>
      <c r="C302" t="s">
        <v>29</v>
      </c>
      <c r="D302" t="s">
        <v>30</v>
      </c>
      <c r="E302" t="s">
        <v>56</v>
      </c>
      <c r="F302">
        <v>1962</v>
      </c>
      <c r="G302">
        <v>1311.96</v>
      </c>
      <c r="H302">
        <v>3</v>
      </c>
      <c r="I302" s="3">
        <v>0.06</v>
      </c>
      <c r="J302">
        <f t="shared" si="16"/>
        <v>5886</v>
      </c>
      <c r="K302">
        <f t="shared" si="17"/>
        <v>353.15999999999997</v>
      </c>
      <c r="L302">
        <f t="shared" si="18"/>
        <v>1596.96</v>
      </c>
      <c r="M302" s="4">
        <f t="shared" si="19"/>
        <v>27.131498470948014</v>
      </c>
    </row>
    <row r="303" spans="1:13" x14ac:dyDescent="0.3">
      <c r="A303" t="s">
        <v>539</v>
      </c>
      <c r="B303" t="s">
        <v>540</v>
      </c>
      <c r="C303" t="s">
        <v>29</v>
      </c>
      <c r="D303" t="s">
        <v>16</v>
      </c>
      <c r="E303" t="s">
        <v>40</v>
      </c>
      <c r="F303">
        <v>5470</v>
      </c>
      <c r="G303">
        <v>4068.62</v>
      </c>
      <c r="H303">
        <v>1</v>
      </c>
      <c r="I303" s="3">
        <v>0.12</v>
      </c>
      <c r="J303">
        <f t="shared" si="16"/>
        <v>5470</v>
      </c>
      <c r="K303">
        <f t="shared" si="17"/>
        <v>656.4</v>
      </c>
      <c r="L303">
        <f t="shared" si="18"/>
        <v>744.98000000000013</v>
      </c>
      <c r="M303" s="4">
        <f t="shared" si="19"/>
        <v>13.619378427787938</v>
      </c>
    </row>
    <row r="304" spans="1:13" x14ac:dyDescent="0.3">
      <c r="A304" t="s">
        <v>541</v>
      </c>
      <c r="B304" t="s">
        <v>188</v>
      </c>
      <c r="C304" t="s">
        <v>25</v>
      </c>
      <c r="D304" t="s">
        <v>30</v>
      </c>
      <c r="E304" t="s">
        <v>56</v>
      </c>
      <c r="F304">
        <v>2896</v>
      </c>
      <c r="G304">
        <v>2211</v>
      </c>
      <c r="H304">
        <v>3</v>
      </c>
      <c r="I304" s="3">
        <v>0.23</v>
      </c>
      <c r="J304">
        <f t="shared" si="16"/>
        <v>8688</v>
      </c>
      <c r="K304">
        <f t="shared" si="17"/>
        <v>1998.24</v>
      </c>
      <c r="L304">
        <f t="shared" si="18"/>
        <v>56.759999999999991</v>
      </c>
      <c r="M304" s="4">
        <f t="shared" si="19"/>
        <v>0.65331491712707179</v>
      </c>
    </row>
    <row r="305" spans="1:13" x14ac:dyDescent="0.3">
      <c r="A305" t="s">
        <v>542</v>
      </c>
      <c r="B305" t="s">
        <v>313</v>
      </c>
      <c r="C305" t="s">
        <v>20</v>
      </c>
      <c r="D305" t="s">
        <v>30</v>
      </c>
      <c r="E305" t="s">
        <v>56</v>
      </c>
      <c r="F305">
        <v>1572</v>
      </c>
      <c r="G305">
        <v>1062.27</v>
      </c>
      <c r="H305">
        <v>4</v>
      </c>
      <c r="I305" s="3">
        <v>0.11</v>
      </c>
      <c r="J305">
        <f t="shared" si="16"/>
        <v>6288</v>
      </c>
      <c r="K305">
        <f t="shared" si="17"/>
        <v>691.68</v>
      </c>
      <c r="L305">
        <f t="shared" si="18"/>
        <v>1347.2400000000002</v>
      </c>
      <c r="M305" s="4">
        <f t="shared" si="19"/>
        <v>21.425572519083975</v>
      </c>
    </row>
    <row r="306" spans="1:13" x14ac:dyDescent="0.3">
      <c r="A306" t="s">
        <v>543</v>
      </c>
      <c r="B306" t="s">
        <v>544</v>
      </c>
      <c r="C306" t="s">
        <v>29</v>
      </c>
      <c r="D306" t="s">
        <v>30</v>
      </c>
      <c r="E306" t="s">
        <v>59</v>
      </c>
      <c r="F306">
        <v>3775</v>
      </c>
      <c r="G306">
        <v>2137.75</v>
      </c>
      <c r="H306">
        <v>3</v>
      </c>
      <c r="I306" s="3">
        <v>0.08</v>
      </c>
      <c r="J306">
        <f t="shared" si="16"/>
        <v>11325</v>
      </c>
      <c r="K306">
        <f t="shared" si="17"/>
        <v>906</v>
      </c>
      <c r="L306">
        <f t="shared" si="18"/>
        <v>4005.75</v>
      </c>
      <c r="M306" s="4">
        <f t="shared" si="19"/>
        <v>35.370860927152322</v>
      </c>
    </row>
    <row r="307" spans="1:13" x14ac:dyDescent="0.3">
      <c r="A307" t="s">
        <v>545</v>
      </c>
      <c r="B307" t="s">
        <v>546</v>
      </c>
      <c r="C307" t="s">
        <v>29</v>
      </c>
      <c r="D307" t="s">
        <v>21</v>
      </c>
      <c r="E307" t="s">
        <v>22</v>
      </c>
      <c r="F307">
        <v>1153</v>
      </c>
      <c r="G307">
        <v>826.13</v>
      </c>
      <c r="H307">
        <v>1</v>
      </c>
      <c r="I307" s="3">
        <v>0.24</v>
      </c>
      <c r="J307">
        <f t="shared" si="16"/>
        <v>1153</v>
      </c>
      <c r="K307">
        <f t="shared" si="17"/>
        <v>276.71999999999997</v>
      </c>
      <c r="L307">
        <f t="shared" si="18"/>
        <v>50.150000000000034</v>
      </c>
      <c r="M307" s="4">
        <f t="shared" si="19"/>
        <v>4.3495229835212523</v>
      </c>
    </row>
    <row r="308" spans="1:13" x14ac:dyDescent="0.3">
      <c r="A308" t="s">
        <v>547</v>
      </c>
      <c r="B308" t="s">
        <v>240</v>
      </c>
      <c r="C308" t="s">
        <v>25</v>
      </c>
      <c r="D308" t="s">
        <v>21</v>
      </c>
      <c r="E308" t="s">
        <v>22</v>
      </c>
      <c r="F308">
        <v>542</v>
      </c>
      <c r="G308">
        <v>307.58999999999997</v>
      </c>
      <c r="H308">
        <v>9</v>
      </c>
      <c r="I308" s="3">
        <v>0.25</v>
      </c>
      <c r="J308">
        <f t="shared" si="16"/>
        <v>4878</v>
      </c>
      <c r="K308">
        <f t="shared" si="17"/>
        <v>1219.5</v>
      </c>
      <c r="L308">
        <f t="shared" si="18"/>
        <v>890.19</v>
      </c>
      <c r="M308" s="4">
        <f t="shared" si="19"/>
        <v>18.249077490774908</v>
      </c>
    </row>
    <row r="309" spans="1:13" x14ac:dyDescent="0.3">
      <c r="A309" t="s">
        <v>548</v>
      </c>
      <c r="B309" t="s">
        <v>549</v>
      </c>
      <c r="C309" t="s">
        <v>29</v>
      </c>
      <c r="D309" t="s">
        <v>21</v>
      </c>
      <c r="E309" t="s">
        <v>22</v>
      </c>
      <c r="F309">
        <v>2500</v>
      </c>
      <c r="G309">
        <v>1706.76</v>
      </c>
      <c r="H309">
        <v>3</v>
      </c>
      <c r="I309" s="3">
        <v>0.1</v>
      </c>
      <c r="J309">
        <f t="shared" si="16"/>
        <v>7500</v>
      </c>
      <c r="K309">
        <f t="shared" si="17"/>
        <v>750</v>
      </c>
      <c r="L309">
        <f t="shared" si="18"/>
        <v>1629.7200000000003</v>
      </c>
      <c r="M309" s="4">
        <f t="shared" si="19"/>
        <v>21.729600000000005</v>
      </c>
    </row>
    <row r="310" spans="1:13" x14ac:dyDescent="0.3">
      <c r="A310" t="s">
        <v>550</v>
      </c>
      <c r="B310" t="s">
        <v>266</v>
      </c>
      <c r="C310" t="s">
        <v>20</v>
      </c>
      <c r="D310" t="s">
        <v>16</v>
      </c>
      <c r="E310" t="s">
        <v>85</v>
      </c>
      <c r="F310">
        <v>3129</v>
      </c>
      <c r="G310">
        <v>1914.91</v>
      </c>
      <c r="H310">
        <v>1</v>
      </c>
      <c r="I310" s="3">
        <v>0.1</v>
      </c>
      <c r="J310">
        <f t="shared" si="16"/>
        <v>3129</v>
      </c>
      <c r="K310">
        <f t="shared" si="17"/>
        <v>312.90000000000003</v>
      </c>
      <c r="L310">
        <f t="shared" si="18"/>
        <v>901.18999999999983</v>
      </c>
      <c r="M310" s="4">
        <f t="shared" si="19"/>
        <v>28.801214445509743</v>
      </c>
    </row>
    <row r="311" spans="1:13" x14ac:dyDescent="0.3">
      <c r="A311" t="s">
        <v>551</v>
      </c>
      <c r="B311" t="s">
        <v>552</v>
      </c>
      <c r="C311" t="s">
        <v>25</v>
      </c>
      <c r="D311" t="s">
        <v>21</v>
      </c>
      <c r="E311" t="s">
        <v>47</v>
      </c>
      <c r="F311">
        <v>1520</v>
      </c>
      <c r="G311">
        <v>1228.7</v>
      </c>
      <c r="H311">
        <v>9</v>
      </c>
      <c r="I311" s="3">
        <v>0.28999999999999998</v>
      </c>
      <c r="J311">
        <f t="shared" si="16"/>
        <v>13680</v>
      </c>
      <c r="K311">
        <f t="shared" si="17"/>
        <v>3967.2</v>
      </c>
      <c r="L311">
        <f t="shared" si="18"/>
        <v>-1345.5000000000009</v>
      </c>
      <c r="M311" s="4">
        <f t="shared" si="19"/>
        <v>-9.8355263157894814</v>
      </c>
    </row>
    <row r="312" spans="1:13" x14ac:dyDescent="0.3">
      <c r="A312" t="s">
        <v>553</v>
      </c>
      <c r="B312" t="s">
        <v>402</v>
      </c>
      <c r="C312" t="s">
        <v>20</v>
      </c>
      <c r="D312" t="s">
        <v>16</v>
      </c>
      <c r="E312" t="s">
        <v>17</v>
      </c>
      <c r="F312">
        <v>5282</v>
      </c>
      <c r="G312">
        <v>3587.85</v>
      </c>
      <c r="H312">
        <v>7</v>
      </c>
      <c r="I312" s="3">
        <v>0.06</v>
      </c>
      <c r="J312">
        <f t="shared" si="16"/>
        <v>36974</v>
      </c>
      <c r="K312">
        <f t="shared" si="17"/>
        <v>2218.44</v>
      </c>
      <c r="L312">
        <f t="shared" si="18"/>
        <v>9640.6099999999988</v>
      </c>
      <c r="M312" s="4">
        <f t="shared" si="19"/>
        <v>26.074024990533886</v>
      </c>
    </row>
    <row r="313" spans="1:13" x14ac:dyDescent="0.3">
      <c r="A313" t="s">
        <v>554</v>
      </c>
      <c r="B313" t="s">
        <v>555</v>
      </c>
      <c r="C313" t="s">
        <v>25</v>
      </c>
      <c r="D313" t="s">
        <v>30</v>
      </c>
      <c r="E313" t="s">
        <v>59</v>
      </c>
      <c r="F313">
        <v>3829</v>
      </c>
      <c r="G313">
        <v>3121.06</v>
      </c>
      <c r="H313">
        <v>1</v>
      </c>
      <c r="I313" s="3">
        <v>0.36</v>
      </c>
      <c r="J313">
        <f t="shared" si="16"/>
        <v>3829</v>
      </c>
      <c r="K313">
        <f t="shared" si="17"/>
        <v>1378.44</v>
      </c>
      <c r="L313">
        <f t="shared" si="18"/>
        <v>-670.5</v>
      </c>
      <c r="M313" s="4">
        <f t="shared" si="19"/>
        <v>-17.511099503786891</v>
      </c>
    </row>
    <row r="314" spans="1:13" x14ac:dyDescent="0.3">
      <c r="A314" t="s">
        <v>556</v>
      </c>
      <c r="B314" t="s">
        <v>557</v>
      </c>
      <c r="C314" t="s">
        <v>25</v>
      </c>
      <c r="D314" t="s">
        <v>16</v>
      </c>
      <c r="E314" t="s">
        <v>85</v>
      </c>
      <c r="F314">
        <v>4056</v>
      </c>
      <c r="G314">
        <v>2252.65</v>
      </c>
      <c r="H314">
        <v>7</v>
      </c>
      <c r="I314" s="3">
        <v>0.28999999999999998</v>
      </c>
      <c r="J314">
        <f t="shared" si="16"/>
        <v>28392</v>
      </c>
      <c r="K314">
        <f t="shared" si="17"/>
        <v>8233.68</v>
      </c>
      <c r="L314">
        <f t="shared" si="18"/>
        <v>4389.7699999999986</v>
      </c>
      <c r="M314" s="4">
        <f t="shared" si="19"/>
        <v>15.461291913214986</v>
      </c>
    </row>
    <row r="315" spans="1:13" x14ac:dyDescent="0.3">
      <c r="A315" t="s">
        <v>558</v>
      </c>
      <c r="B315" t="s">
        <v>460</v>
      </c>
      <c r="C315" t="s">
        <v>15</v>
      </c>
      <c r="D315" t="s">
        <v>16</v>
      </c>
      <c r="E315" t="s">
        <v>17</v>
      </c>
      <c r="F315">
        <v>5353</v>
      </c>
      <c r="G315">
        <v>3085.76</v>
      </c>
      <c r="H315">
        <v>6</v>
      </c>
      <c r="I315" s="3">
        <v>0.06</v>
      </c>
      <c r="J315">
        <f t="shared" si="16"/>
        <v>32118</v>
      </c>
      <c r="K315">
        <f t="shared" si="17"/>
        <v>1927.08</v>
      </c>
      <c r="L315">
        <f t="shared" si="18"/>
        <v>11676.359999999999</v>
      </c>
      <c r="M315" s="4">
        <f t="shared" si="19"/>
        <v>36.35456753222492</v>
      </c>
    </row>
    <row r="316" spans="1:13" x14ac:dyDescent="0.3">
      <c r="A316" t="s">
        <v>559</v>
      </c>
      <c r="B316" t="s">
        <v>552</v>
      </c>
      <c r="C316" t="s">
        <v>15</v>
      </c>
      <c r="D316" t="s">
        <v>30</v>
      </c>
      <c r="E316" t="s">
        <v>34</v>
      </c>
      <c r="F316">
        <v>2105</v>
      </c>
      <c r="G316">
        <v>1229.79</v>
      </c>
      <c r="H316">
        <v>8</v>
      </c>
      <c r="I316" s="3">
        <v>0.14000000000000001</v>
      </c>
      <c r="J316">
        <f t="shared" si="16"/>
        <v>16840</v>
      </c>
      <c r="K316">
        <f t="shared" si="17"/>
        <v>2357.6000000000004</v>
      </c>
      <c r="L316">
        <f t="shared" si="18"/>
        <v>4644.08</v>
      </c>
      <c r="M316" s="4">
        <f t="shared" si="19"/>
        <v>27.577672209026126</v>
      </c>
    </row>
    <row r="317" spans="1:13" x14ac:dyDescent="0.3">
      <c r="A317" t="s">
        <v>560</v>
      </c>
      <c r="B317" t="s">
        <v>297</v>
      </c>
      <c r="C317" t="s">
        <v>29</v>
      </c>
      <c r="D317" t="s">
        <v>16</v>
      </c>
      <c r="E317" t="s">
        <v>26</v>
      </c>
      <c r="F317">
        <v>3631</v>
      </c>
      <c r="G317">
        <v>2525.35</v>
      </c>
      <c r="H317">
        <v>2</v>
      </c>
      <c r="I317" s="3">
        <v>0.17</v>
      </c>
      <c r="J317">
        <f t="shared" si="16"/>
        <v>7262</v>
      </c>
      <c r="K317">
        <f t="shared" si="17"/>
        <v>1234.5400000000002</v>
      </c>
      <c r="L317">
        <f t="shared" si="18"/>
        <v>976.76</v>
      </c>
      <c r="M317" s="4">
        <f t="shared" si="19"/>
        <v>13.45028917653539</v>
      </c>
    </row>
    <row r="318" spans="1:13" x14ac:dyDescent="0.3">
      <c r="A318" t="s">
        <v>561</v>
      </c>
      <c r="B318" t="s">
        <v>451</v>
      </c>
      <c r="C318" t="s">
        <v>29</v>
      </c>
      <c r="D318" t="s">
        <v>21</v>
      </c>
      <c r="E318" t="s">
        <v>22</v>
      </c>
      <c r="F318">
        <v>2113</v>
      </c>
      <c r="G318">
        <v>1724.34</v>
      </c>
      <c r="H318">
        <v>4</v>
      </c>
      <c r="I318" s="3">
        <v>0.14000000000000001</v>
      </c>
      <c r="J318">
        <f t="shared" si="16"/>
        <v>8452</v>
      </c>
      <c r="K318">
        <f t="shared" si="17"/>
        <v>1183.2800000000002</v>
      </c>
      <c r="L318">
        <f t="shared" si="18"/>
        <v>371.36000000000013</v>
      </c>
      <c r="M318" s="4">
        <f t="shared" si="19"/>
        <v>4.3937529578797934</v>
      </c>
    </row>
    <row r="319" spans="1:13" x14ac:dyDescent="0.3">
      <c r="A319" t="s">
        <v>562</v>
      </c>
      <c r="B319" t="s">
        <v>83</v>
      </c>
      <c r="C319" t="s">
        <v>29</v>
      </c>
      <c r="D319" t="s">
        <v>16</v>
      </c>
      <c r="E319" t="s">
        <v>40</v>
      </c>
      <c r="F319">
        <v>4717</v>
      </c>
      <c r="G319">
        <v>2880.3</v>
      </c>
      <c r="H319">
        <v>3</v>
      </c>
      <c r="I319" s="3">
        <v>0.14000000000000001</v>
      </c>
      <c r="J319">
        <f t="shared" si="16"/>
        <v>14151</v>
      </c>
      <c r="K319">
        <f t="shared" si="17"/>
        <v>1981.14</v>
      </c>
      <c r="L319">
        <f t="shared" si="18"/>
        <v>3528.9599999999982</v>
      </c>
      <c r="M319" s="4">
        <f t="shared" si="19"/>
        <v>24.937884248462993</v>
      </c>
    </row>
    <row r="320" spans="1:13" x14ac:dyDescent="0.3">
      <c r="A320" t="s">
        <v>563</v>
      </c>
      <c r="B320" t="s">
        <v>564</v>
      </c>
      <c r="C320" t="s">
        <v>20</v>
      </c>
      <c r="D320" t="s">
        <v>21</v>
      </c>
      <c r="E320" t="s">
        <v>22</v>
      </c>
      <c r="F320">
        <v>893</v>
      </c>
      <c r="G320">
        <v>620.6</v>
      </c>
      <c r="H320">
        <v>2</v>
      </c>
      <c r="I320" s="3">
        <v>0.1</v>
      </c>
      <c r="J320">
        <f t="shared" si="16"/>
        <v>1786</v>
      </c>
      <c r="K320">
        <f t="shared" si="17"/>
        <v>178.60000000000002</v>
      </c>
      <c r="L320">
        <f t="shared" si="18"/>
        <v>366.19999999999993</v>
      </c>
      <c r="M320" s="4">
        <f t="shared" si="19"/>
        <v>20.503919372900331</v>
      </c>
    </row>
    <row r="321" spans="1:13" x14ac:dyDescent="0.3">
      <c r="A321" t="s">
        <v>565</v>
      </c>
      <c r="B321" t="s">
        <v>468</v>
      </c>
      <c r="C321" t="s">
        <v>25</v>
      </c>
      <c r="D321" t="s">
        <v>16</v>
      </c>
      <c r="E321" t="s">
        <v>85</v>
      </c>
      <c r="F321">
        <v>4756</v>
      </c>
      <c r="G321">
        <v>3663.2</v>
      </c>
      <c r="H321">
        <v>3</v>
      </c>
      <c r="I321" s="3">
        <v>0.25</v>
      </c>
      <c r="J321">
        <f t="shared" si="16"/>
        <v>14268</v>
      </c>
      <c r="K321">
        <f t="shared" si="17"/>
        <v>3567</v>
      </c>
      <c r="L321">
        <f t="shared" si="18"/>
        <v>-288.59999999999854</v>
      </c>
      <c r="M321" s="4">
        <f t="shared" si="19"/>
        <v>-2.0227081581160538</v>
      </c>
    </row>
    <row r="322" spans="1:13" x14ac:dyDescent="0.3">
      <c r="A322" t="s">
        <v>566</v>
      </c>
      <c r="B322" t="s">
        <v>414</v>
      </c>
      <c r="C322" t="s">
        <v>29</v>
      </c>
      <c r="D322" t="s">
        <v>16</v>
      </c>
      <c r="E322" t="s">
        <v>17</v>
      </c>
      <c r="F322">
        <v>4775</v>
      </c>
      <c r="G322">
        <v>3569.76</v>
      </c>
      <c r="H322">
        <v>10</v>
      </c>
      <c r="I322" s="3">
        <v>0.12</v>
      </c>
      <c r="J322">
        <f t="shared" ref="J322:J351" si="20">F322*H322</f>
        <v>47750</v>
      </c>
      <c r="K322">
        <f t="shared" ref="K322:K351" si="21">J322*I322</f>
        <v>5730</v>
      </c>
      <c r="L322">
        <f t="shared" ref="L322:L351" si="22">J322-(G322*H322)-K322</f>
        <v>6322.3999999999942</v>
      </c>
      <c r="M322" s="4">
        <f t="shared" ref="M322:M351" si="23">(L322/J322)*100</f>
        <v>13.240628272251298</v>
      </c>
    </row>
    <row r="323" spans="1:13" x14ac:dyDescent="0.3">
      <c r="A323" t="s">
        <v>567</v>
      </c>
      <c r="B323" t="s">
        <v>440</v>
      </c>
      <c r="C323" t="s">
        <v>15</v>
      </c>
      <c r="D323" t="s">
        <v>21</v>
      </c>
      <c r="E323" t="s">
        <v>62</v>
      </c>
      <c r="F323">
        <v>1437</v>
      </c>
      <c r="G323">
        <v>863.67</v>
      </c>
      <c r="H323">
        <v>6</v>
      </c>
      <c r="I323" s="3">
        <v>0.08</v>
      </c>
      <c r="J323">
        <f t="shared" si="20"/>
        <v>8622</v>
      </c>
      <c r="K323">
        <f t="shared" si="21"/>
        <v>689.76</v>
      </c>
      <c r="L323">
        <f t="shared" si="22"/>
        <v>2750.2200000000003</v>
      </c>
      <c r="M323" s="4">
        <f t="shared" si="23"/>
        <v>31.897703549060548</v>
      </c>
    </row>
    <row r="324" spans="1:13" x14ac:dyDescent="0.3">
      <c r="A324" t="s">
        <v>568</v>
      </c>
      <c r="B324" t="s">
        <v>569</v>
      </c>
      <c r="C324" t="s">
        <v>20</v>
      </c>
      <c r="D324" t="s">
        <v>21</v>
      </c>
      <c r="E324" t="s">
        <v>37</v>
      </c>
      <c r="F324">
        <v>736</v>
      </c>
      <c r="G324">
        <v>622.17999999999995</v>
      </c>
      <c r="H324">
        <v>3</v>
      </c>
      <c r="I324" s="3">
        <v>0.1</v>
      </c>
      <c r="J324">
        <f t="shared" si="20"/>
        <v>2208</v>
      </c>
      <c r="K324">
        <f t="shared" si="21"/>
        <v>220.8</v>
      </c>
      <c r="L324">
        <f t="shared" si="22"/>
        <v>120.66000000000003</v>
      </c>
      <c r="M324" s="4">
        <f t="shared" si="23"/>
        <v>5.4646739130434794</v>
      </c>
    </row>
    <row r="325" spans="1:13" x14ac:dyDescent="0.3">
      <c r="A325" t="s">
        <v>570</v>
      </c>
      <c r="B325" t="s">
        <v>571</v>
      </c>
      <c r="C325" t="s">
        <v>29</v>
      </c>
      <c r="D325" t="s">
        <v>16</v>
      </c>
      <c r="E325" t="s">
        <v>17</v>
      </c>
      <c r="F325">
        <v>2740</v>
      </c>
      <c r="G325">
        <v>1812.31</v>
      </c>
      <c r="H325">
        <v>10</v>
      </c>
      <c r="I325" s="3">
        <v>0.2</v>
      </c>
      <c r="J325">
        <f t="shared" si="20"/>
        <v>27400</v>
      </c>
      <c r="K325">
        <f t="shared" si="21"/>
        <v>5480</v>
      </c>
      <c r="L325">
        <f t="shared" si="22"/>
        <v>3796.9000000000015</v>
      </c>
      <c r="M325" s="4">
        <f t="shared" si="23"/>
        <v>13.857299270072998</v>
      </c>
    </row>
    <row r="326" spans="1:13" x14ac:dyDescent="0.3">
      <c r="A326" t="s">
        <v>572</v>
      </c>
      <c r="B326" t="s">
        <v>464</v>
      </c>
      <c r="C326" t="s">
        <v>29</v>
      </c>
      <c r="D326" t="s">
        <v>30</v>
      </c>
      <c r="E326" t="s">
        <v>59</v>
      </c>
      <c r="F326">
        <v>2546</v>
      </c>
      <c r="G326">
        <v>1450.81</v>
      </c>
      <c r="H326">
        <v>3</v>
      </c>
      <c r="I326" s="3">
        <v>0.1</v>
      </c>
      <c r="J326">
        <f t="shared" si="20"/>
        <v>7638</v>
      </c>
      <c r="K326">
        <f t="shared" si="21"/>
        <v>763.80000000000007</v>
      </c>
      <c r="L326">
        <f t="shared" si="22"/>
        <v>2521.7699999999995</v>
      </c>
      <c r="M326" s="4">
        <f t="shared" si="23"/>
        <v>33.016103692065983</v>
      </c>
    </row>
    <row r="327" spans="1:13" x14ac:dyDescent="0.3">
      <c r="A327" t="s">
        <v>573</v>
      </c>
      <c r="B327" t="s">
        <v>221</v>
      </c>
      <c r="C327" t="s">
        <v>25</v>
      </c>
      <c r="D327" t="s">
        <v>21</v>
      </c>
      <c r="E327" t="s">
        <v>47</v>
      </c>
      <c r="F327">
        <v>1013</v>
      </c>
      <c r="G327">
        <v>666.13</v>
      </c>
      <c r="H327">
        <v>2</v>
      </c>
      <c r="I327" s="3">
        <v>0.36</v>
      </c>
      <c r="J327">
        <f t="shared" si="20"/>
        <v>2026</v>
      </c>
      <c r="K327">
        <f t="shared" si="21"/>
        <v>729.36</v>
      </c>
      <c r="L327">
        <f t="shared" si="22"/>
        <v>-35.620000000000005</v>
      </c>
      <c r="M327" s="4">
        <f t="shared" si="23"/>
        <v>-1.7581441263573545</v>
      </c>
    </row>
    <row r="328" spans="1:13" x14ac:dyDescent="0.3">
      <c r="A328" t="s">
        <v>574</v>
      </c>
      <c r="B328" t="s">
        <v>575</v>
      </c>
      <c r="C328" t="s">
        <v>15</v>
      </c>
      <c r="D328" t="s">
        <v>30</v>
      </c>
      <c r="E328" t="s">
        <v>34</v>
      </c>
      <c r="F328">
        <v>1623</v>
      </c>
      <c r="G328">
        <v>958.81</v>
      </c>
      <c r="H328">
        <v>3</v>
      </c>
      <c r="I328" s="3">
        <v>0.2</v>
      </c>
      <c r="J328">
        <f t="shared" si="20"/>
        <v>4869</v>
      </c>
      <c r="K328">
        <f t="shared" si="21"/>
        <v>973.80000000000007</v>
      </c>
      <c r="L328">
        <f t="shared" si="22"/>
        <v>1018.7700000000001</v>
      </c>
      <c r="M328" s="4">
        <f t="shared" si="23"/>
        <v>20.923598274799758</v>
      </c>
    </row>
    <row r="329" spans="1:13" x14ac:dyDescent="0.3">
      <c r="A329" t="s">
        <v>576</v>
      </c>
      <c r="B329" t="s">
        <v>251</v>
      </c>
      <c r="C329" t="s">
        <v>25</v>
      </c>
      <c r="D329" t="s">
        <v>30</v>
      </c>
      <c r="E329" t="s">
        <v>34</v>
      </c>
      <c r="F329">
        <v>2869</v>
      </c>
      <c r="G329">
        <v>2342.52</v>
      </c>
      <c r="H329">
        <v>1</v>
      </c>
      <c r="I329" s="3">
        <v>0.21</v>
      </c>
      <c r="J329">
        <f t="shared" si="20"/>
        <v>2869</v>
      </c>
      <c r="K329">
        <f t="shared" si="21"/>
        <v>602.49</v>
      </c>
      <c r="L329">
        <f t="shared" si="22"/>
        <v>-76.009999999999991</v>
      </c>
      <c r="M329" s="4">
        <f t="shared" si="23"/>
        <v>-2.6493551760195184</v>
      </c>
    </row>
    <row r="330" spans="1:13" x14ac:dyDescent="0.3">
      <c r="A330" t="s">
        <v>577</v>
      </c>
      <c r="B330" t="s">
        <v>110</v>
      </c>
      <c r="C330" t="s">
        <v>25</v>
      </c>
      <c r="D330" t="s">
        <v>21</v>
      </c>
      <c r="E330" t="s">
        <v>62</v>
      </c>
      <c r="F330">
        <v>2249</v>
      </c>
      <c r="G330">
        <v>1840.51</v>
      </c>
      <c r="H330">
        <v>1</v>
      </c>
      <c r="I330" s="3">
        <v>0.36</v>
      </c>
      <c r="J330">
        <f t="shared" si="20"/>
        <v>2249</v>
      </c>
      <c r="K330">
        <f t="shared" si="21"/>
        <v>809.64</v>
      </c>
      <c r="L330">
        <f t="shared" si="22"/>
        <v>-401.15</v>
      </c>
      <c r="M330" s="4">
        <f t="shared" si="23"/>
        <v>-17.836816362827925</v>
      </c>
    </row>
    <row r="331" spans="1:13" x14ac:dyDescent="0.3">
      <c r="A331" t="s">
        <v>578</v>
      </c>
      <c r="B331" t="s">
        <v>74</v>
      </c>
      <c r="C331" t="s">
        <v>20</v>
      </c>
      <c r="D331" t="s">
        <v>21</v>
      </c>
      <c r="E331" t="s">
        <v>47</v>
      </c>
      <c r="F331">
        <v>1232</v>
      </c>
      <c r="G331">
        <v>1006.51</v>
      </c>
      <c r="H331">
        <v>10</v>
      </c>
      <c r="I331" s="3">
        <v>0.18</v>
      </c>
      <c r="J331">
        <f t="shared" si="20"/>
        <v>12320</v>
      </c>
      <c r="K331">
        <f t="shared" si="21"/>
        <v>2217.6</v>
      </c>
      <c r="L331">
        <f t="shared" si="22"/>
        <v>37.299999999999727</v>
      </c>
      <c r="M331" s="4">
        <f t="shared" si="23"/>
        <v>0.30275974025973801</v>
      </c>
    </row>
    <row r="332" spans="1:13" x14ac:dyDescent="0.3">
      <c r="A332" t="s">
        <v>579</v>
      </c>
      <c r="B332" t="s">
        <v>580</v>
      </c>
      <c r="C332" t="s">
        <v>20</v>
      </c>
      <c r="D332" t="s">
        <v>16</v>
      </c>
      <c r="E332" t="s">
        <v>40</v>
      </c>
      <c r="F332">
        <v>5833</v>
      </c>
      <c r="G332">
        <v>4572.95</v>
      </c>
      <c r="H332">
        <v>2</v>
      </c>
      <c r="I332" s="3">
        <v>0.24</v>
      </c>
      <c r="J332">
        <f t="shared" si="20"/>
        <v>11666</v>
      </c>
      <c r="K332">
        <f t="shared" si="21"/>
        <v>2799.8399999999997</v>
      </c>
      <c r="L332">
        <f t="shared" si="22"/>
        <v>-279.73999999999933</v>
      </c>
      <c r="M332" s="4">
        <f t="shared" si="23"/>
        <v>-2.3979084519115323</v>
      </c>
    </row>
    <row r="333" spans="1:13" x14ac:dyDescent="0.3">
      <c r="A333" t="s">
        <v>581</v>
      </c>
      <c r="B333" t="s">
        <v>380</v>
      </c>
      <c r="C333" t="s">
        <v>25</v>
      </c>
      <c r="D333" t="s">
        <v>21</v>
      </c>
      <c r="E333" t="s">
        <v>47</v>
      </c>
      <c r="F333">
        <v>2067</v>
      </c>
      <c r="G333">
        <v>1417.62</v>
      </c>
      <c r="H333">
        <v>10</v>
      </c>
      <c r="I333" s="3">
        <v>0.21</v>
      </c>
      <c r="J333">
        <f t="shared" si="20"/>
        <v>20670</v>
      </c>
      <c r="K333">
        <f t="shared" si="21"/>
        <v>4340.7</v>
      </c>
      <c r="L333">
        <f t="shared" si="22"/>
        <v>2153.1000000000013</v>
      </c>
      <c r="M333" s="4">
        <f t="shared" si="23"/>
        <v>10.416545718432516</v>
      </c>
    </row>
    <row r="334" spans="1:13" x14ac:dyDescent="0.3">
      <c r="A334" t="s">
        <v>582</v>
      </c>
      <c r="B334" t="s">
        <v>349</v>
      </c>
      <c r="C334" t="s">
        <v>15</v>
      </c>
      <c r="D334" t="s">
        <v>16</v>
      </c>
      <c r="E334" t="s">
        <v>85</v>
      </c>
      <c r="F334">
        <v>2197</v>
      </c>
      <c r="G334">
        <v>1796.35</v>
      </c>
      <c r="H334">
        <v>2</v>
      </c>
      <c r="I334" s="3">
        <v>0.13</v>
      </c>
      <c r="J334">
        <f t="shared" si="20"/>
        <v>4394</v>
      </c>
      <c r="K334">
        <f t="shared" si="21"/>
        <v>571.22</v>
      </c>
      <c r="L334">
        <f t="shared" si="22"/>
        <v>230.08000000000015</v>
      </c>
      <c r="M334" s="4">
        <f t="shared" si="23"/>
        <v>5.2362312243969082</v>
      </c>
    </row>
    <row r="335" spans="1:13" x14ac:dyDescent="0.3">
      <c r="A335" t="s">
        <v>583</v>
      </c>
      <c r="B335" t="s">
        <v>149</v>
      </c>
      <c r="C335" t="s">
        <v>29</v>
      </c>
      <c r="D335" t="s">
        <v>16</v>
      </c>
      <c r="E335" t="s">
        <v>40</v>
      </c>
      <c r="F335">
        <v>3208</v>
      </c>
      <c r="G335">
        <v>2536.44</v>
      </c>
      <c r="H335">
        <v>9</v>
      </c>
      <c r="I335" s="3">
        <v>0.21</v>
      </c>
      <c r="J335">
        <f t="shared" si="20"/>
        <v>28872</v>
      </c>
      <c r="K335">
        <f t="shared" si="21"/>
        <v>6063.12</v>
      </c>
      <c r="L335">
        <f t="shared" si="22"/>
        <v>-19.079999999999018</v>
      </c>
      <c r="M335" s="4">
        <f t="shared" si="23"/>
        <v>-6.6084788029921779E-2</v>
      </c>
    </row>
    <row r="336" spans="1:13" x14ac:dyDescent="0.3">
      <c r="A336" t="s">
        <v>584</v>
      </c>
      <c r="B336" t="s">
        <v>585</v>
      </c>
      <c r="C336" t="s">
        <v>25</v>
      </c>
      <c r="D336" t="s">
        <v>30</v>
      </c>
      <c r="E336" t="s">
        <v>31</v>
      </c>
      <c r="F336">
        <v>3060</v>
      </c>
      <c r="G336">
        <v>1900.8</v>
      </c>
      <c r="H336">
        <v>2</v>
      </c>
      <c r="I336" s="3">
        <v>0.22</v>
      </c>
      <c r="J336">
        <f t="shared" si="20"/>
        <v>6120</v>
      </c>
      <c r="K336">
        <f t="shared" si="21"/>
        <v>1346.4</v>
      </c>
      <c r="L336">
        <f t="shared" si="22"/>
        <v>972</v>
      </c>
      <c r="M336" s="4">
        <f t="shared" si="23"/>
        <v>15.882352941176469</v>
      </c>
    </row>
    <row r="337" spans="1:13" x14ac:dyDescent="0.3">
      <c r="A337" t="s">
        <v>586</v>
      </c>
      <c r="B337" t="s">
        <v>587</v>
      </c>
      <c r="C337" t="s">
        <v>25</v>
      </c>
      <c r="D337" t="s">
        <v>30</v>
      </c>
      <c r="E337" t="s">
        <v>34</v>
      </c>
      <c r="F337">
        <v>1915</v>
      </c>
      <c r="G337">
        <v>1239.57</v>
      </c>
      <c r="H337">
        <v>4</v>
      </c>
      <c r="I337" s="3">
        <v>0.28999999999999998</v>
      </c>
      <c r="J337">
        <f t="shared" si="20"/>
        <v>7660</v>
      </c>
      <c r="K337">
        <f t="shared" si="21"/>
        <v>2221.3999999999996</v>
      </c>
      <c r="L337">
        <f t="shared" si="22"/>
        <v>480.32000000000062</v>
      </c>
      <c r="M337" s="4">
        <f t="shared" si="23"/>
        <v>6.2704960835509223</v>
      </c>
    </row>
    <row r="338" spans="1:13" x14ac:dyDescent="0.3">
      <c r="A338" t="s">
        <v>588</v>
      </c>
      <c r="B338" t="s">
        <v>339</v>
      </c>
      <c r="C338" t="s">
        <v>15</v>
      </c>
      <c r="D338" t="s">
        <v>21</v>
      </c>
      <c r="E338" t="s">
        <v>37</v>
      </c>
      <c r="F338">
        <v>518</v>
      </c>
      <c r="G338">
        <v>355.75</v>
      </c>
      <c r="H338">
        <v>8</v>
      </c>
      <c r="I338" s="3">
        <v>0.22</v>
      </c>
      <c r="J338">
        <f t="shared" si="20"/>
        <v>4144</v>
      </c>
      <c r="K338">
        <f t="shared" si="21"/>
        <v>911.68</v>
      </c>
      <c r="L338">
        <f t="shared" si="22"/>
        <v>386.32000000000005</v>
      </c>
      <c r="M338" s="4">
        <f t="shared" si="23"/>
        <v>9.3223938223938241</v>
      </c>
    </row>
    <row r="339" spans="1:13" x14ac:dyDescent="0.3">
      <c r="A339" t="s">
        <v>589</v>
      </c>
      <c r="B339" t="s">
        <v>155</v>
      </c>
      <c r="C339" t="s">
        <v>20</v>
      </c>
      <c r="D339" t="s">
        <v>30</v>
      </c>
      <c r="E339" t="s">
        <v>56</v>
      </c>
      <c r="F339">
        <v>1954</v>
      </c>
      <c r="G339">
        <v>1125.3499999999999</v>
      </c>
      <c r="H339">
        <v>6</v>
      </c>
      <c r="I339" s="3">
        <v>0.24</v>
      </c>
      <c r="J339">
        <f t="shared" si="20"/>
        <v>11724</v>
      </c>
      <c r="K339">
        <f t="shared" si="21"/>
        <v>2813.7599999999998</v>
      </c>
      <c r="L339">
        <f t="shared" si="22"/>
        <v>2158.1400000000008</v>
      </c>
      <c r="M339" s="4">
        <f t="shared" si="23"/>
        <v>18.40788126919141</v>
      </c>
    </row>
    <row r="340" spans="1:13" x14ac:dyDescent="0.3">
      <c r="A340" t="s">
        <v>590</v>
      </c>
      <c r="B340" t="s">
        <v>591</v>
      </c>
      <c r="C340" t="s">
        <v>20</v>
      </c>
      <c r="D340" t="s">
        <v>30</v>
      </c>
      <c r="E340" t="s">
        <v>34</v>
      </c>
      <c r="F340">
        <v>3326</v>
      </c>
      <c r="G340">
        <v>2043.28</v>
      </c>
      <c r="H340">
        <v>6</v>
      </c>
      <c r="I340" s="3">
        <v>0.02</v>
      </c>
      <c r="J340">
        <f t="shared" si="20"/>
        <v>19956</v>
      </c>
      <c r="K340">
        <f t="shared" si="21"/>
        <v>399.12</v>
      </c>
      <c r="L340">
        <f t="shared" si="22"/>
        <v>7297.2</v>
      </c>
      <c r="M340" s="4">
        <f t="shared" si="23"/>
        <v>36.566446181599517</v>
      </c>
    </row>
    <row r="341" spans="1:13" x14ac:dyDescent="0.3">
      <c r="A341" t="s">
        <v>592</v>
      </c>
      <c r="B341" t="s">
        <v>133</v>
      </c>
      <c r="C341" t="s">
        <v>15</v>
      </c>
      <c r="D341" t="s">
        <v>21</v>
      </c>
      <c r="E341" t="s">
        <v>62</v>
      </c>
      <c r="F341">
        <v>2304</v>
      </c>
      <c r="G341">
        <v>1280.0999999999999</v>
      </c>
      <c r="H341">
        <v>6</v>
      </c>
      <c r="I341" s="3">
        <v>0.08</v>
      </c>
      <c r="J341">
        <f t="shared" si="20"/>
        <v>13824</v>
      </c>
      <c r="K341">
        <f t="shared" si="21"/>
        <v>1105.92</v>
      </c>
      <c r="L341">
        <f t="shared" si="22"/>
        <v>5037.4800000000005</v>
      </c>
      <c r="M341" s="4">
        <f t="shared" si="23"/>
        <v>36.440104166666671</v>
      </c>
    </row>
    <row r="342" spans="1:13" x14ac:dyDescent="0.3">
      <c r="A342" t="s">
        <v>593</v>
      </c>
      <c r="B342" t="s">
        <v>68</v>
      </c>
      <c r="C342" t="s">
        <v>15</v>
      </c>
      <c r="D342" t="s">
        <v>21</v>
      </c>
      <c r="E342" t="s">
        <v>22</v>
      </c>
      <c r="F342">
        <v>1067</v>
      </c>
      <c r="G342">
        <v>589.34</v>
      </c>
      <c r="H342">
        <v>8</v>
      </c>
      <c r="I342" s="3">
        <v>0.12</v>
      </c>
      <c r="J342">
        <f t="shared" si="20"/>
        <v>8536</v>
      </c>
      <c r="K342">
        <f t="shared" si="21"/>
        <v>1024.32</v>
      </c>
      <c r="L342">
        <f t="shared" si="22"/>
        <v>2796.96</v>
      </c>
      <c r="M342" s="4">
        <f t="shared" si="23"/>
        <v>32.766635426429239</v>
      </c>
    </row>
    <row r="343" spans="1:13" x14ac:dyDescent="0.3">
      <c r="A343" t="s">
        <v>594</v>
      </c>
      <c r="B343" t="s">
        <v>423</v>
      </c>
      <c r="C343" t="s">
        <v>29</v>
      </c>
      <c r="D343" t="s">
        <v>30</v>
      </c>
      <c r="E343" t="s">
        <v>31</v>
      </c>
      <c r="F343">
        <v>1617</v>
      </c>
      <c r="G343">
        <v>1252.26</v>
      </c>
      <c r="H343">
        <v>10</v>
      </c>
      <c r="I343" s="3">
        <v>7.0000000000000007E-2</v>
      </c>
      <c r="J343">
        <f t="shared" si="20"/>
        <v>16170</v>
      </c>
      <c r="K343">
        <f t="shared" si="21"/>
        <v>1131.9000000000001</v>
      </c>
      <c r="L343">
        <f t="shared" si="22"/>
        <v>2515.4999999999995</v>
      </c>
      <c r="M343" s="4">
        <f t="shared" si="23"/>
        <v>15.556586270871984</v>
      </c>
    </row>
    <row r="344" spans="1:13" x14ac:dyDescent="0.3">
      <c r="A344" t="s">
        <v>595</v>
      </c>
      <c r="B344" t="s">
        <v>183</v>
      </c>
      <c r="C344" t="s">
        <v>29</v>
      </c>
      <c r="D344" t="s">
        <v>30</v>
      </c>
      <c r="E344" t="s">
        <v>34</v>
      </c>
      <c r="F344">
        <v>3216</v>
      </c>
      <c r="G344">
        <v>2722.31</v>
      </c>
      <c r="H344">
        <v>2</v>
      </c>
      <c r="I344" s="3">
        <v>0.15</v>
      </c>
      <c r="J344">
        <f t="shared" si="20"/>
        <v>6432</v>
      </c>
      <c r="K344">
        <f t="shared" si="21"/>
        <v>964.8</v>
      </c>
      <c r="L344">
        <f t="shared" si="22"/>
        <v>22.580000000000155</v>
      </c>
      <c r="M344" s="4">
        <f t="shared" si="23"/>
        <v>0.35105721393035066</v>
      </c>
    </row>
    <row r="345" spans="1:13" x14ac:dyDescent="0.3">
      <c r="A345" t="s">
        <v>596</v>
      </c>
      <c r="B345" t="s">
        <v>591</v>
      </c>
      <c r="C345" t="s">
        <v>25</v>
      </c>
      <c r="D345" t="s">
        <v>16</v>
      </c>
      <c r="E345" t="s">
        <v>26</v>
      </c>
      <c r="F345">
        <v>4502</v>
      </c>
      <c r="G345">
        <v>3067.69</v>
      </c>
      <c r="H345">
        <v>7</v>
      </c>
      <c r="I345" s="3">
        <v>0.21</v>
      </c>
      <c r="J345">
        <f t="shared" si="20"/>
        <v>31514</v>
      </c>
      <c r="K345">
        <f t="shared" si="21"/>
        <v>6617.94</v>
      </c>
      <c r="L345">
        <f t="shared" si="22"/>
        <v>3422.2299999999987</v>
      </c>
      <c r="M345" s="4">
        <f t="shared" si="23"/>
        <v>10.859395824078183</v>
      </c>
    </row>
    <row r="346" spans="1:13" x14ac:dyDescent="0.3">
      <c r="A346" t="s">
        <v>597</v>
      </c>
      <c r="B346" t="s">
        <v>165</v>
      </c>
      <c r="C346" t="s">
        <v>29</v>
      </c>
      <c r="D346" t="s">
        <v>30</v>
      </c>
      <c r="E346" t="s">
        <v>59</v>
      </c>
      <c r="F346">
        <v>1983</v>
      </c>
      <c r="G346">
        <v>1668.29</v>
      </c>
      <c r="H346">
        <v>9</v>
      </c>
      <c r="I346" s="3">
        <v>0.01</v>
      </c>
      <c r="J346">
        <f t="shared" si="20"/>
        <v>17847</v>
      </c>
      <c r="K346">
        <f t="shared" si="21"/>
        <v>178.47</v>
      </c>
      <c r="L346">
        <f t="shared" si="22"/>
        <v>2653.9199999999996</v>
      </c>
      <c r="M346" s="4">
        <f t="shared" si="23"/>
        <v>14.870398386283407</v>
      </c>
    </row>
    <row r="347" spans="1:13" x14ac:dyDescent="0.3">
      <c r="A347" t="s">
        <v>598</v>
      </c>
      <c r="B347" t="s">
        <v>599</v>
      </c>
      <c r="C347" t="s">
        <v>20</v>
      </c>
      <c r="D347" t="s">
        <v>30</v>
      </c>
      <c r="E347" t="s">
        <v>34</v>
      </c>
      <c r="F347">
        <v>2451</v>
      </c>
      <c r="G347">
        <v>1390.04</v>
      </c>
      <c r="H347">
        <v>5</v>
      </c>
      <c r="I347" s="3">
        <v>0.09</v>
      </c>
      <c r="J347">
        <f t="shared" si="20"/>
        <v>12255</v>
      </c>
      <c r="K347">
        <f t="shared" si="21"/>
        <v>1102.95</v>
      </c>
      <c r="L347">
        <f t="shared" si="22"/>
        <v>4201.8500000000004</v>
      </c>
      <c r="M347" s="4">
        <f t="shared" si="23"/>
        <v>34.286821705426355</v>
      </c>
    </row>
    <row r="348" spans="1:13" x14ac:dyDescent="0.3">
      <c r="A348" t="s">
        <v>600</v>
      </c>
      <c r="B348" t="s">
        <v>331</v>
      </c>
      <c r="C348" t="s">
        <v>15</v>
      </c>
      <c r="D348" t="s">
        <v>21</v>
      </c>
      <c r="E348" t="s">
        <v>47</v>
      </c>
      <c r="F348">
        <v>1921</v>
      </c>
      <c r="G348">
        <v>1166.56</v>
      </c>
      <c r="H348">
        <v>9</v>
      </c>
      <c r="I348" s="3">
        <v>7.0000000000000007E-2</v>
      </c>
      <c r="J348">
        <f t="shared" si="20"/>
        <v>17289</v>
      </c>
      <c r="K348">
        <f t="shared" si="21"/>
        <v>1210.23</v>
      </c>
      <c r="L348">
        <f t="shared" si="22"/>
        <v>5579.7300000000014</v>
      </c>
      <c r="M348" s="4">
        <f t="shared" si="23"/>
        <v>32.273295158771482</v>
      </c>
    </row>
    <row r="349" spans="1:13" x14ac:dyDescent="0.3">
      <c r="A349" t="s">
        <v>601</v>
      </c>
      <c r="B349" t="s">
        <v>414</v>
      </c>
      <c r="C349" t="s">
        <v>15</v>
      </c>
      <c r="D349" t="s">
        <v>21</v>
      </c>
      <c r="E349" t="s">
        <v>37</v>
      </c>
      <c r="F349">
        <v>1455</v>
      </c>
      <c r="G349">
        <v>1164.26</v>
      </c>
      <c r="H349">
        <v>3</v>
      </c>
      <c r="I349" s="3">
        <v>0.18</v>
      </c>
      <c r="J349">
        <f t="shared" si="20"/>
        <v>4365</v>
      </c>
      <c r="K349">
        <f t="shared" si="21"/>
        <v>785.69999999999993</v>
      </c>
      <c r="L349">
        <f t="shared" si="22"/>
        <v>86.520000000000323</v>
      </c>
      <c r="M349" s="4">
        <f t="shared" si="23"/>
        <v>1.9821305841924473</v>
      </c>
    </row>
    <row r="350" spans="1:13" x14ac:dyDescent="0.3">
      <c r="A350" t="s">
        <v>602</v>
      </c>
      <c r="B350" t="s">
        <v>603</v>
      </c>
      <c r="C350" t="s">
        <v>20</v>
      </c>
      <c r="D350" t="s">
        <v>30</v>
      </c>
      <c r="E350" t="s">
        <v>56</v>
      </c>
      <c r="F350">
        <v>2712</v>
      </c>
      <c r="G350">
        <v>2164.7399999999998</v>
      </c>
      <c r="H350">
        <v>5</v>
      </c>
      <c r="I350">
        <v>0.12</v>
      </c>
      <c r="J350">
        <f t="shared" si="20"/>
        <v>13560</v>
      </c>
      <c r="K350">
        <f t="shared" si="21"/>
        <v>1627.2</v>
      </c>
      <c r="L350">
        <f t="shared" si="22"/>
        <v>1109.100000000001</v>
      </c>
      <c r="M350" s="4">
        <f t="shared" si="23"/>
        <v>8.1792035398230176</v>
      </c>
    </row>
    <row r="351" spans="1:13" x14ac:dyDescent="0.3">
      <c r="A351" t="s">
        <v>604</v>
      </c>
      <c r="B351" t="s">
        <v>335</v>
      </c>
      <c r="C351" t="s">
        <v>29</v>
      </c>
      <c r="D351" t="s">
        <v>21</v>
      </c>
      <c r="E351" t="s">
        <v>47</v>
      </c>
      <c r="F351">
        <v>2148</v>
      </c>
      <c r="G351">
        <v>1625.6</v>
      </c>
      <c r="H351">
        <v>10</v>
      </c>
      <c r="I351">
        <v>0.16</v>
      </c>
      <c r="J351">
        <f t="shared" si="20"/>
        <v>21480</v>
      </c>
      <c r="K351">
        <f t="shared" si="21"/>
        <v>3436.8</v>
      </c>
      <c r="L351">
        <f t="shared" si="22"/>
        <v>1787.1999999999998</v>
      </c>
      <c r="M351" s="4">
        <f t="shared" si="23"/>
        <v>8.3202979515828659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449C-8B84-42B8-94F8-CDD7757B600A}">
  <dimension ref="A3:B8"/>
  <sheetViews>
    <sheetView workbookViewId="0">
      <selection activeCell="B8" sqref="B8"/>
    </sheetView>
  </sheetViews>
  <sheetFormatPr defaultRowHeight="14.4" x14ac:dyDescent="0.3"/>
  <cols>
    <col min="1" max="1" width="12.5546875" bestFit="1" customWidth="1"/>
    <col min="2" max="2" width="14.88671875" bestFit="1" customWidth="1"/>
  </cols>
  <sheetData>
    <row r="3" spans="1:2" x14ac:dyDescent="0.3">
      <c r="A3" s="1" t="s">
        <v>605</v>
      </c>
      <c r="B3" t="s">
        <v>607</v>
      </c>
    </row>
    <row r="4" spans="1:2" x14ac:dyDescent="0.3">
      <c r="A4" s="2" t="s">
        <v>15</v>
      </c>
      <c r="B4">
        <v>1239281</v>
      </c>
    </row>
    <row r="5" spans="1:2" x14ac:dyDescent="0.3">
      <c r="A5" s="2" t="s">
        <v>20</v>
      </c>
      <c r="B5">
        <v>1332272</v>
      </c>
    </row>
    <row r="6" spans="1:2" x14ac:dyDescent="0.3">
      <c r="A6" s="2" t="s">
        <v>25</v>
      </c>
      <c r="B6">
        <v>1522160</v>
      </c>
    </row>
    <row r="7" spans="1:2" x14ac:dyDescent="0.3">
      <c r="A7" s="2" t="s">
        <v>29</v>
      </c>
      <c r="B7">
        <v>1105068</v>
      </c>
    </row>
    <row r="8" spans="1:2" x14ac:dyDescent="0.3">
      <c r="A8" s="2" t="s">
        <v>606</v>
      </c>
      <c r="B8">
        <v>5198781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6AA5-79FE-4A78-BD65-7F4BE660FA61}">
  <dimension ref="A1:M353"/>
  <sheetViews>
    <sheetView workbookViewId="0">
      <selection activeCell="A3" sqref="A3:M353"/>
    </sheetView>
  </sheetViews>
  <sheetFormatPr defaultRowHeight="14.4" x14ac:dyDescent="0.3"/>
  <cols>
    <col min="1" max="1" width="10.77734375" bestFit="1" customWidth="1"/>
    <col min="2" max="2" width="12.88671875" bestFit="1" customWidth="1"/>
    <col min="3" max="3" width="9" bestFit="1" customWidth="1"/>
    <col min="4" max="4" width="18.5546875" bestFit="1" customWidth="1"/>
    <col min="5" max="5" width="16" bestFit="1" customWidth="1"/>
    <col min="6" max="6" width="11.88671875" bestFit="1" customWidth="1"/>
    <col min="7" max="7" width="12" bestFit="1" customWidth="1"/>
    <col min="8" max="8" width="10.5546875" bestFit="1" customWidth="1"/>
    <col min="9" max="9" width="18.109375" bestFit="1" customWidth="1"/>
    <col min="10" max="10" width="10.5546875" bestFit="1" customWidth="1"/>
    <col min="11" max="11" width="18.5546875" bestFit="1" customWidth="1"/>
    <col min="12" max="12" width="9" bestFit="1" customWidth="1"/>
    <col min="13" max="13" width="22.5546875" bestFit="1" customWidth="1"/>
  </cols>
  <sheetData>
    <row r="1" spans="1:13" x14ac:dyDescent="0.3">
      <c r="A1" s="7" t="s">
        <v>613</v>
      </c>
    </row>
    <row r="3" spans="1:13" x14ac:dyDescent="0.3">
      <c r="A3" t="s">
        <v>0</v>
      </c>
      <c r="B3" t="s">
        <v>1</v>
      </c>
      <c r="C3" t="s">
        <v>2</v>
      </c>
      <c r="D3" t="s">
        <v>3</v>
      </c>
      <c r="E3" t="s">
        <v>4</v>
      </c>
      <c r="F3" t="s">
        <v>5</v>
      </c>
      <c r="G3" t="s">
        <v>6</v>
      </c>
      <c r="H3" t="s">
        <v>7</v>
      </c>
      <c r="I3" t="s">
        <v>8</v>
      </c>
      <c r="J3" t="s">
        <v>9</v>
      </c>
      <c r="K3" t="s">
        <v>10</v>
      </c>
      <c r="L3" t="s">
        <v>11</v>
      </c>
      <c r="M3" t="s">
        <v>12</v>
      </c>
    </row>
    <row r="4" spans="1:13" x14ac:dyDescent="0.3">
      <c r="A4" t="s">
        <v>18</v>
      </c>
      <c r="B4" t="s">
        <v>19</v>
      </c>
      <c r="C4" t="s">
        <v>20</v>
      </c>
      <c r="D4" t="s">
        <v>21</v>
      </c>
      <c r="E4" t="s">
        <v>22</v>
      </c>
      <c r="F4">
        <v>673</v>
      </c>
      <c r="G4">
        <v>466.11</v>
      </c>
      <c r="H4">
        <v>9</v>
      </c>
      <c r="I4">
        <v>0.17</v>
      </c>
      <c r="J4">
        <v>6057</v>
      </c>
      <c r="K4">
        <v>1029.69</v>
      </c>
      <c r="L4">
        <v>832.32000000000016</v>
      </c>
      <c r="M4">
        <v>13.741456166419022</v>
      </c>
    </row>
    <row r="5" spans="1:13" x14ac:dyDescent="0.3">
      <c r="A5" t="s">
        <v>35</v>
      </c>
      <c r="B5" t="s">
        <v>36</v>
      </c>
      <c r="C5" t="s">
        <v>25</v>
      </c>
      <c r="D5" t="s">
        <v>21</v>
      </c>
      <c r="E5" t="s">
        <v>37</v>
      </c>
      <c r="F5">
        <v>1091</v>
      </c>
      <c r="G5">
        <v>838.06</v>
      </c>
      <c r="H5">
        <v>6</v>
      </c>
      <c r="I5">
        <v>0.37</v>
      </c>
      <c r="J5">
        <v>6546</v>
      </c>
      <c r="K5">
        <v>2422.02</v>
      </c>
      <c r="L5">
        <v>-904.37999999999965</v>
      </c>
      <c r="M5">
        <v>-13.815765352887254</v>
      </c>
    </row>
    <row r="6" spans="1:13" x14ac:dyDescent="0.3">
      <c r="A6" t="s">
        <v>45</v>
      </c>
      <c r="B6" t="s">
        <v>46</v>
      </c>
      <c r="C6" t="s">
        <v>15</v>
      </c>
      <c r="D6" t="s">
        <v>21</v>
      </c>
      <c r="E6" t="s">
        <v>47</v>
      </c>
      <c r="F6">
        <v>2121</v>
      </c>
      <c r="G6">
        <v>1665.78</v>
      </c>
      <c r="H6">
        <v>9</v>
      </c>
      <c r="I6">
        <v>0.19</v>
      </c>
      <c r="J6">
        <v>19089</v>
      </c>
      <c r="K6">
        <v>3626.91</v>
      </c>
      <c r="L6">
        <v>470.06999999999971</v>
      </c>
      <c r="M6">
        <v>2.4625176803394608</v>
      </c>
    </row>
    <row r="7" spans="1:13" x14ac:dyDescent="0.3">
      <c r="A7" t="s">
        <v>52</v>
      </c>
      <c r="B7" t="s">
        <v>53</v>
      </c>
      <c r="C7" t="s">
        <v>20</v>
      </c>
      <c r="D7" t="s">
        <v>21</v>
      </c>
      <c r="E7" t="s">
        <v>47</v>
      </c>
      <c r="F7">
        <v>1709</v>
      </c>
      <c r="G7">
        <v>1048.79</v>
      </c>
      <c r="H7">
        <v>7</v>
      </c>
      <c r="I7">
        <v>0.2</v>
      </c>
      <c r="J7">
        <v>11963</v>
      </c>
      <c r="K7">
        <v>2392.6</v>
      </c>
      <c r="L7">
        <v>2228.8700000000003</v>
      </c>
      <c r="M7">
        <v>18.631363370392044</v>
      </c>
    </row>
    <row r="8" spans="1:13" x14ac:dyDescent="0.3">
      <c r="A8" t="s">
        <v>60</v>
      </c>
      <c r="B8" t="s">
        <v>61</v>
      </c>
      <c r="C8" t="s">
        <v>20</v>
      </c>
      <c r="D8" t="s">
        <v>21</v>
      </c>
      <c r="E8" t="s">
        <v>62</v>
      </c>
      <c r="F8">
        <v>734</v>
      </c>
      <c r="G8">
        <v>608.34</v>
      </c>
      <c r="H8">
        <v>4</v>
      </c>
      <c r="I8">
        <v>0.18</v>
      </c>
      <c r="J8">
        <v>2936</v>
      </c>
      <c r="K8">
        <v>528.48</v>
      </c>
      <c r="L8">
        <v>-25.840000000000146</v>
      </c>
      <c r="M8">
        <v>-0.88010899182561808</v>
      </c>
    </row>
    <row r="9" spans="1:13" x14ac:dyDescent="0.3">
      <c r="A9" t="s">
        <v>65</v>
      </c>
      <c r="B9" t="s">
        <v>66</v>
      </c>
      <c r="C9" t="s">
        <v>20</v>
      </c>
      <c r="D9" t="s">
        <v>21</v>
      </c>
      <c r="E9" t="s">
        <v>62</v>
      </c>
      <c r="F9">
        <v>557</v>
      </c>
      <c r="G9">
        <v>368.92</v>
      </c>
      <c r="H9">
        <v>3</v>
      </c>
      <c r="I9">
        <v>0.08</v>
      </c>
      <c r="J9">
        <v>1671</v>
      </c>
      <c r="K9">
        <v>133.68</v>
      </c>
      <c r="L9">
        <v>430.56</v>
      </c>
      <c r="M9">
        <v>25.766606822262116</v>
      </c>
    </row>
    <row r="10" spans="1:13" x14ac:dyDescent="0.3">
      <c r="A10" t="s">
        <v>71</v>
      </c>
      <c r="B10" t="s">
        <v>72</v>
      </c>
      <c r="C10" t="s">
        <v>15</v>
      </c>
      <c r="D10" t="s">
        <v>21</v>
      </c>
      <c r="E10" t="s">
        <v>62</v>
      </c>
      <c r="F10">
        <v>1838</v>
      </c>
      <c r="G10">
        <v>1248.6300000000001</v>
      </c>
      <c r="H10">
        <v>6</v>
      </c>
      <c r="I10">
        <v>0.1</v>
      </c>
      <c r="J10">
        <v>11028</v>
      </c>
      <c r="K10">
        <v>1102.8</v>
      </c>
      <c r="L10">
        <v>2433.4199999999992</v>
      </c>
      <c r="M10">
        <v>22.065832426550593</v>
      </c>
    </row>
    <row r="11" spans="1:13" x14ac:dyDescent="0.3">
      <c r="A11" t="s">
        <v>77</v>
      </c>
      <c r="B11" t="s">
        <v>78</v>
      </c>
      <c r="C11" t="s">
        <v>20</v>
      </c>
      <c r="D11" t="s">
        <v>21</v>
      </c>
      <c r="E11" t="s">
        <v>22</v>
      </c>
      <c r="F11">
        <v>1836</v>
      </c>
      <c r="G11">
        <v>1028.5899999999999</v>
      </c>
      <c r="H11">
        <v>9</v>
      </c>
      <c r="I11">
        <v>0.15</v>
      </c>
      <c r="J11">
        <v>16524</v>
      </c>
      <c r="K11">
        <v>2478.6</v>
      </c>
      <c r="L11">
        <v>4788.09</v>
      </c>
      <c r="M11">
        <v>28.976579520697172</v>
      </c>
    </row>
    <row r="12" spans="1:13" x14ac:dyDescent="0.3">
      <c r="A12" t="s">
        <v>92</v>
      </c>
      <c r="B12" t="s">
        <v>93</v>
      </c>
      <c r="C12" t="s">
        <v>15</v>
      </c>
      <c r="D12" t="s">
        <v>21</v>
      </c>
      <c r="E12" t="s">
        <v>37</v>
      </c>
      <c r="F12">
        <v>2100</v>
      </c>
      <c r="G12">
        <v>1564.04</v>
      </c>
      <c r="H12">
        <v>3</v>
      </c>
      <c r="I12">
        <v>0.23</v>
      </c>
      <c r="J12">
        <v>6300</v>
      </c>
      <c r="K12">
        <v>1449</v>
      </c>
      <c r="L12">
        <v>158.88000000000011</v>
      </c>
      <c r="M12">
        <v>2.5219047619047639</v>
      </c>
    </row>
    <row r="13" spans="1:13" x14ac:dyDescent="0.3">
      <c r="A13" t="s">
        <v>94</v>
      </c>
      <c r="B13" t="s">
        <v>95</v>
      </c>
      <c r="C13" t="s">
        <v>29</v>
      </c>
      <c r="D13" t="s">
        <v>21</v>
      </c>
      <c r="E13" t="s">
        <v>37</v>
      </c>
      <c r="F13">
        <v>1045</v>
      </c>
      <c r="G13">
        <v>874.94</v>
      </c>
      <c r="H13">
        <v>4</v>
      </c>
      <c r="I13">
        <v>0.19</v>
      </c>
      <c r="J13">
        <v>4180</v>
      </c>
      <c r="K13">
        <v>794.2</v>
      </c>
      <c r="L13">
        <v>-113.96000000000026</v>
      </c>
      <c r="M13">
        <v>-2.7263157894736905</v>
      </c>
    </row>
    <row r="14" spans="1:13" x14ac:dyDescent="0.3">
      <c r="A14" t="s">
        <v>106</v>
      </c>
      <c r="B14" t="s">
        <v>107</v>
      </c>
      <c r="C14" t="s">
        <v>15</v>
      </c>
      <c r="D14" t="s">
        <v>21</v>
      </c>
      <c r="E14" t="s">
        <v>47</v>
      </c>
      <c r="F14">
        <v>2108</v>
      </c>
      <c r="G14">
        <v>1429.1</v>
      </c>
      <c r="H14">
        <v>6</v>
      </c>
      <c r="I14">
        <v>0.02</v>
      </c>
      <c r="J14">
        <v>12648</v>
      </c>
      <c r="K14">
        <v>252.96</v>
      </c>
      <c r="L14">
        <v>3820.4400000000014</v>
      </c>
      <c r="M14">
        <v>30.205882352941188</v>
      </c>
    </row>
    <row r="15" spans="1:13" x14ac:dyDescent="0.3">
      <c r="A15" t="s">
        <v>111</v>
      </c>
      <c r="B15" t="s">
        <v>112</v>
      </c>
      <c r="C15" t="s">
        <v>25</v>
      </c>
      <c r="D15" t="s">
        <v>21</v>
      </c>
      <c r="E15" t="s">
        <v>37</v>
      </c>
      <c r="F15">
        <v>2077</v>
      </c>
      <c r="G15">
        <v>1298.21</v>
      </c>
      <c r="H15">
        <v>6</v>
      </c>
      <c r="I15">
        <v>0.2</v>
      </c>
      <c r="J15">
        <v>12462</v>
      </c>
      <c r="K15">
        <v>2492.4</v>
      </c>
      <c r="L15">
        <v>2180.3399999999997</v>
      </c>
      <c r="M15">
        <v>17.495907558979297</v>
      </c>
    </row>
    <row r="16" spans="1:13" x14ac:dyDescent="0.3">
      <c r="A16" t="s">
        <v>115</v>
      </c>
      <c r="B16" t="s">
        <v>116</v>
      </c>
      <c r="C16" t="s">
        <v>29</v>
      </c>
      <c r="D16" t="s">
        <v>21</v>
      </c>
      <c r="E16" t="s">
        <v>47</v>
      </c>
      <c r="F16">
        <v>1106</v>
      </c>
      <c r="G16">
        <v>804.72</v>
      </c>
      <c r="H16">
        <v>9</v>
      </c>
      <c r="I16">
        <v>0.14000000000000001</v>
      </c>
      <c r="J16">
        <v>9954</v>
      </c>
      <c r="K16">
        <v>1393.5600000000002</v>
      </c>
      <c r="L16">
        <v>1317.9599999999994</v>
      </c>
      <c r="M16">
        <v>13.240506329113918</v>
      </c>
    </row>
    <row r="17" spans="1:13" x14ac:dyDescent="0.3">
      <c r="A17" t="s">
        <v>117</v>
      </c>
      <c r="B17" t="s">
        <v>118</v>
      </c>
      <c r="C17" t="s">
        <v>20</v>
      </c>
      <c r="D17" t="s">
        <v>21</v>
      </c>
      <c r="E17" t="s">
        <v>37</v>
      </c>
      <c r="F17">
        <v>2378</v>
      </c>
      <c r="G17">
        <v>1452.76</v>
      </c>
      <c r="H17">
        <v>9</v>
      </c>
      <c r="I17">
        <v>0.03</v>
      </c>
      <c r="J17">
        <v>21402</v>
      </c>
      <c r="K17">
        <v>642.05999999999995</v>
      </c>
      <c r="L17">
        <v>7685.1</v>
      </c>
      <c r="M17">
        <v>35.908326324642559</v>
      </c>
    </row>
    <row r="18" spans="1:13" x14ac:dyDescent="0.3">
      <c r="A18" t="s">
        <v>119</v>
      </c>
      <c r="B18" t="s">
        <v>120</v>
      </c>
      <c r="C18" t="s">
        <v>29</v>
      </c>
      <c r="D18" t="s">
        <v>21</v>
      </c>
      <c r="E18" t="s">
        <v>22</v>
      </c>
      <c r="F18">
        <v>2484</v>
      </c>
      <c r="G18">
        <v>1613.82</v>
      </c>
      <c r="H18">
        <v>2</v>
      </c>
      <c r="I18">
        <v>7.0000000000000007E-2</v>
      </c>
      <c r="J18">
        <v>4968</v>
      </c>
      <c r="K18">
        <v>347.76000000000005</v>
      </c>
      <c r="L18">
        <v>1392.6000000000001</v>
      </c>
      <c r="M18">
        <v>28.031400966183579</v>
      </c>
    </row>
    <row r="19" spans="1:13" x14ac:dyDescent="0.3">
      <c r="A19" t="s">
        <v>123</v>
      </c>
      <c r="B19" t="s">
        <v>58</v>
      </c>
      <c r="C19" t="s">
        <v>15</v>
      </c>
      <c r="D19" t="s">
        <v>21</v>
      </c>
      <c r="E19" t="s">
        <v>62</v>
      </c>
      <c r="F19">
        <v>1901</v>
      </c>
      <c r="G19">
        <v>1546.86</v>
      </c>
      <c r="H19">
        <v>4</v>
      </c>
      <c r="I19">
        <v>0.24</v>
      </c>
      <c r="J19">
        <v>7604</v>
      </c>
      <c r="K19">
        <v>1824.96</v>
      </c>
      <c r="L19">
        <v>-408.39999999999964</v>
      </c>
      <c r="M19">
        <v>-5.3708574434508103</v>
      </c>
    </row>
    <row r="20" spans="1:13" x14ac:dyDescent="0.3">
      <c r="A20" t="s">
        <v>126</v>
      </c>
      <c r="B20" t="s">
        <v>127</v>
      </c>
      <c r="C20" t="s">
        <v>15</v>
      </c>
      <c r="D20" t="s">
        <v>21</v>
      </c>
      <c r="E20" t="s">
        <v>37</v>
      </c>
      <c r="F20">
        <v>2094</v>
      </c>
      <c r="G20">
        <v>1546.66</v>
      </c>
      <c r="H20">
        <v>6</v>
      </c>
      <c r="I20">
        <v>0.06</v>
      </c>
      <c r="J20">
        <v>12564</v>
      </c>
      <c r="K20">
        <v>753.83999999999992</v>
      </c>
      <c r="L20">
        <v>2530.1999999999989</v>
      </c>
      <c r="M20">
        <v>20.138490926456534</v>
      </c>
    </row>
    <row r="21" spans="1:13" x14ac:dyDescent="0.3">
      <c r="A21" t="s">
        <v>132</v>
      </c>
      <c r="B21" t="s">
        <v>133</v>
      </c>
      <c r="C21" t="s">
        <v>25</v>
      </c>
      <c r="D21" t="s">
        <v>21</v>
      </c>
      <c r="E21" t="s">
        <v>37</v>
      </c>
      <c r="F21">
        <v>2478</v>
      </c>
      <c r="G21">
        <v>2046.48</v>
      </c>
      <c r="H21">
        <v>3</v>
      </c>
      <c r="I21">
        <v>0.36</v>
      </c>
      <c r="J21">
        <v>7434</v>
      </c>
      <c r="K21">
        <v>2676.24</v>
      </c>
      <c r="L21">
        <v>-1381.6800000000003</v>
      </c>
      <c r="M21">
        <v>-18.585956416464892</v>
      </c>
    </row>
    <row r="22" spans="1:13" x14ac:dyDescent="0.3">
      <c r="A22" t="s">
        <v>142</v>
      </c>
      <c r="B22" t="s">
        <v>143</v>
      </c>
      <c r="C22" t="s">
        <v>15</v>
      </c>
      <c r="D22" t="s">
        <v>21</v>
      </c>
      <c r="E22" t="s">
        <v>22</v>
      </c>
      <c r="F22">
        <v>874</v>
      </c>
      <c r="G22">
        <v>626.09</v>
      </c>
      <c r="H22">
        <v>3</v>
      </c>
      <c r="I22">
        <v>0.06</v>
      </c>
      <c r="J22">
        <v>2622</v>
      </c>
      <c r="K22">
        <v>157.32</v>
      </c>
      <c r="L22">
        <v>586.41000000000008</v>
      </c>
      <c r="M22">
        <v>22.364988558352405</v>
      </c>
    </row>
    <row r="23" spans="1:13" x14ac:dyDescent="0.3">
      <c r="A23" t="s">
        <v>152</v>
      </c>
      <c r="B23" t="s">
        <v>153</v>
      </c>
      <c r="C23" t="s">
        <v>25</v>
      </c>
      <c r="D23" t="s">
        <v>21</v>
      </c>
      <c r="E23" t="s">
        <v>47</v>
      </c>
      <c r="F23">
        <v>1700</v>
      </c>
      <c r="G23">
        <v>1075.6199999999999</v>
      </c>
      <c r="H23">
        <v>4</v>
      </c>
      <c r="I23">
        <v>0.4</v>
      </c>
      <c r="J23">
        <v>6800</v>
      </c>
      <c r="K23">
        <v>2720</v>
      </c>
      <c r="L23">
        <v>-222.47999999999956</v>
      </c>
      <c r="M23">
        <v>-3.2717647058823465</v>
      </c>
    </row>
    <row r="24" spans="1:13" x14ac:dyDescent="0.3">
      <c r="A24" t="s">
        <v>164</v>
      </c>
      <c r="B24" t="s">
        <v>165</v>
      </c>
      <c r="C24" t="s">
        <v>15</v>
      </c>
      <c r="D24" t="s">
        <v>21</v>
      </c>
      <c r="E24" t="s">
        <v>37</v>
      </c>
      <c r="F24">
        <v>1475</v>
      </c>
      <c r="G24">
        <v>1203.33</v>
      </c>
      <c r="H24">
        <v>8</v>
      </c>
      <c r="I24">
        <v>0.16</v>
      </c>
      <c r="J24">
        <v>11800</v>
      </c>
      <c r="K24">
        <v>1888</v>
      </c>
      <c r="L24">
        <v>285.36000000000058</v>
      </c>
      <c r="M24">
        <v>2.4183050847457679</v>
      </c>
    </row>
    <row r="25" spans="1:13" x14ac:dyDescent="0.3">
      <c r="A25" t="s">
        <v>168</v>
      </c>
      <c r="B25" t="s">
        <v>169</v>
      </c>
      <c r="C25" t="s">
        <v>29</v>
      </c>
      <c r="D25" t="s">
        <v>21</v>
      </c>
      <c r="E25" t="s">
        <v>62</v>
      </c>
      <c r="F25">
        <v>1665</v>
      </c>
      <c r="G25">
        <v>1284.6300000000001</v>
      </c>
      <c r="H25">
        <v>7</v>
      </c>
      <c r="I25">
        <v>0.23</v>
      </c>
      <c r="J25">
        <v>11655</v>
      </c>
      <c r="K25">
        <v>2680.65</v>
      </c>
      <c r="L25">
        <v>-18.059999999999945</v>
      </c>
      <c r="M25">
        <v>-0.15495495495495448</v>
      </c>
    </row>
    <row r="26" spans="1:13" x14ac:dyDescent="0.3">
      <c r="A26" t="s">
        <v>180</v>
      </c>
      <c r="B26" t="s">
        <v>181</v>
      </c>
      <c r="C26" t="s">
        <v>29</v>
      </c>
      <c r="D26" t="s">
        <v>21</v>
      </c>
      <c r="E26" t="s">
        <v>37</v>
      </c>
      <c r="F26">
        <v>2467</v>
      </c>
      <c r="G26">
        <v>2042.51</v>
      </c>
      <c r="H26">
        <v>5</v>
      </c>
      <c r="I26">
        <v>0.02</v>
      </c>
      <c r="J26">
        <v>12335</v>
      </c>
      <c r="K26">
        <v>246.70000000000002</v>
      </c>
      <c r="L26">
        <v>1875.7500000000007</v>
      </c>
      <c r="M26">
        <v>15.206728820429676</v>
      </c>
    </row>
    <row r="27" spans="1:13" x14ac:dyDescent="0.3">
      <c r="A27" t="s">
        <v>184</v>
      </c>
      <c r="B27" t="s">
        <v>185</v>
      </c>
      <c r="C27" t="s">
        <v>25</v>
      </c>
      <c r="D27" t="s">
        <v>21</v>
      </c>
      <c r="E27" t="s">
        <v>62</v>
      </c>
      <c r="F27">
        <v>1602</v>
      </c>
      <c r="G27">
        <v>1187.3499999999999</v>
      </c>
      <c r="H27">
        <v>6</v>
      </c>
      <c r="I27">
        <v>0.26</v>
      </c>
      <c r="J27">
        <v>9612</v>
      </c>
      <c r="K27">
        <v>2499.12</v>
      </c>
      <c r="L27">
        <v>-11.219999999999345</v>
      </c>
      <c r="M27">
        <v>-0.11672908863919419</v>
      </c>
    </row>
    <row r="28" spans="1:13" x14ac:dyDescent="0.3">
      <c r="A28" t="s">
        <v>189</v>
      </c>
      <c r="B28" t="s">
        <v>190</v>
      </c>
      <c r="C28" t="s">
        <v>29</v>
      </c>
      <c r="D28" t="s">
        <v>21</v>
      </c>
      <c r="E28" t="s">
        <v>37</v>
      </c>
      <c r="F28">
        <v>749</v>
      </c>
      <c r="G28">
        <v>443.4</v>
      </c>
      <c r="H28">
        <v>5</v>
      </c>
      <c r="I28">
        <v>0.09</v>
      </c>
      <c r="J28">
        <v>3745</v>
      </c>
      <c r="K28">
        <v>337.05</v>
      </c>
      <c r="L28">
        <v>1190.95</v>
      </c>
      <c r="M28">
        <v>31.801068090787719</v>
      </c>
    </row>
    <row r="29" spans="1:13" x14ac:dyDescent="0.3">
      <c r="A29" t="s">
        <v>204</v>
      </c>
      <c r="B29" t="s">
        <v>205</v>
      </c>
      <c r="C29" t="s">
        <v>20</v>
      </c>
      <c r="D29" t="s">
        <v>21</v>
      </c>
      <c r="E29" t="s">
        <v>62</v>
      </c>
      <c r="F29">
        <v>893</v>
      </c>
      <c r="G29">
        <v>578.4</v>
      </c>
      <c r="H29">
        <v>2</v>
      </c>
      <c r="I29">
        <v>0.05</v>
      </c>
      <c r="J29">
        <v>1786</v>
      </c>
      <c r="K29">
        <v>89.300000000000011</v>
      </c>
      <c r="L29">
        <v>539.90000000000009</v>
      </c>
      <c r="M29">
        <v>30.229563269876824</v>
      </c>
    </row>
    <row r="30" spans="1:13" x14ac:dyDescent="0.3">
      <c r="A30" t="s">
        <v>208</v>
      </c>
      <c r="B30" t="s">
        <v>209</v>
      </c>
      <c r="C30" t="s">
        <v>15</v>
      </c>
      <c r="D30" t="s">
        <v>21</v>
      </c>
      <c r="E30" t="s">
        <v>37</v>
      </c>
      <c r="F30">
        <v>2164</v>
      </c>
      <c r="G30">
        <v>1676.78</v>
      </c>
      <c r="H30">
        <v>3</v>
      </c>
      <c r="I30">
        <v>0.05</v>
      </c>
      <c r="J30">
        <v>6492</v>
      </c>
      <c r="K30">
        <v>324.60000000000002</v>
      </c>
      <c r="L30">
        <v>1137.06</v>
      </c>
      <c r="M30">
        <v>17.514787430683917</v>
      </c>
    </row>
    <row r="31" spans="1:13" x14ac:dyDescent="0.3">
      <c r="A31" t="s">
        <v>210</v>
      </c>
      <c r="B31" t="s">
        <v>211</v>
      </c>
      <c r="C31" t="s">
        <v>20</v>
      </c>
      <c r="D31" t="s">
        <v>21</v>
      </c>
      <c r="E31" t="s">
        <v>22</v>
      </c>
      <c r="F31">
        <v>1565</v>
      </c>
      <c r="G31">
        <v>1288.7</v>
      </c>
      <c r="H31">
        <v>1</v>
      </c>
      <c r="I31">
        <v>0.03</v>
      </c>
      <c r="J31">
        <v>1565</v>
      </c>
      <c r="K31">
        <v>46.949999999999996</v>
      </c>
      <c r="L31">
        <v>229.34999999999997</v>
      </c>
      <c r="M31">
        <v>14.654952076677313</v>
      </c>
    </row>
    <row r="32" spans="1:13" x14ac:dyDescent="0.3">
      <c r="A32" t="s">
        <v>214</v>
      </c>
      <c r="B32" t="s">
        <v>215</v>
      </c>
      <c r="C32" t="s">
        <v>25</v>
      </c>
      <c r="D32" t="s">
        <v>21</v>
      </c>
      <c r="E32" t="s">
        <v>22</v>
      </c>
      <c r="F32">
        <v>2021</v>
      </c>
      <c r="G32">
        <v>1142.22</v>
      </c>
      <c r="H32">
        <v>7</v>
      </c>
      <c r="I32">
        <v>0.38</v>
      </c>
      <c r="J32">
        <v>14147</v>
      </c>
      <c r="K32">
        <v>5375.86</v>
      </c>
      <c r="L32">
        <v>775.60000000000036</v>
      </c>
      <c r="M32">
        <v>5.4824344383968358</v>
      </c>
    </row>
    <row r="33" spans="1:13" x14ac:dyDescent="0.3">
      <c r="A33" t="s">
        <v>224</v>
      </c>
      <c r="B33" t="s">
        <v>225</v>
      </c>
      <c r="C33" t="s">
        <v>20</v>
      </c>
      <c r="D33" t="s">
        <v>21</v>
      </c>
      <c r="E33" t="s">
        <v>47</v>
      </c>
      <c r="F33">
        <v>2311</v>
      </c>
      <c r="G33">
        <v>1350.13</v>
      </c>
      <c r="H33">
        <v>8</v>
      </c>
      <c r="I33">
        <v>0.21</v>
      </c>
      <c r="J33">
        <v>18488</v>
      </c>
      <c r="K33">
        <v>3882.48</v>
      </c>
      <c r="L33">
        <v>3804.4799999999991</v>
      </c>
      <c r="M33">
        <v>20.578104716572906</v>
      </c>
    </row>
    <row r="34" spans="1:13" x14ac:dyDescent="0.3">
      <c r="A34" t="s">
        <v>234</v>
      </c>
      <c r="B34" t="s">
        <v>235</v>
      </c>
      <c r="C34" t="s">
        <v>20</v>
      </c>
      <c r="D34" t="s">
        <v>21</v>
      </c>
      <c r="E34" t="s">
        <v>47</v>
      </c>
      <c r="F34">
        <v>1292</v>
      </c>
      <c r="G34">
        <v>779.48</v>
      </c>
      <c r="H34">
        <v>8</v>
      </c>
      <c r="I34">
        <v>0.12</v>
      </c>
      <c r="J34">
        <v>10336</v>
      </c>
      <c r="K34">
        <v>1240.32</v>
      </c>
      <c r="L34">
        <v>2859.84</v>
      </c>
      <c r="M34">
        <v>27.668730650154799</v>
      </c>
    </row>
    <row r="35" spans="1:13" x14ac:dyDescent="0.3">
      <c r="A35" t="s">
        <v>245</v>
      </c>
      <c r="B35" t="s">
        <v>246</v>
      </c>
      <c r="C35" t="s">
        <v>15</v>
      </c>
      <c r="D35" t="s">
        <v>21</v>
      </c>
      <c r="E35" t="s">
        <v>62</v>
      </c>
      <c r="F35">
        <v>630</v>
      </c>
      <c r="G35">
        <v>383.01</v>
      </c>
      <c r="H35">
        <v>10</v>
      </c>
      <c r="I35">
        <v>0.09</v>
      </c>
      <c r="J35">
        <v>6300</v>
      </c>
      <c r="K35">
        <v>567</v>
      </c>
      <c r="L35">
        <v>1902.9</v>
      </c>
      <c r="M35">
        <v>30.204761904761906</v>
      </c>
    </row>
    <row r="36" spans="1:13" x14ac:dyDescent="0.3">
      <c r="A36" t="s">
        <v>250</v>
      </c>
      <c r="B36" t="s">
        <v>251</v>
      </c>
      <c r="C36" t="s">
        <v>25</v>
      </c>
      <c r="D36" t="s">
        <v>21</v>
      </c>
      <c r="E36" t="s">
        <v>22</v>
      </c>
      <c r="F36">
        <v>536</v>
      </c>
      <c r="G36">
        <v>451.48</v>
      </c>
      <c r="H36">
        <v>3</v>
      </c>
      <c r="I36">
        <v>0.21</v>
      </c>
      <c r="J36">
        <v>1608</v>
      </c>
      <c r="K36">
        <v>337.68</v>
      </c>
      <c r="L36">
        <v>-84.120000000000061</v>
      </c>
      <c r="M36">
        <v>-5.2313432835820937</v>
      </c>
    </row>
    <row r="37" spans="1:13" x14ac:dyDescent="0.3">
      <c r="A37" t="s">
        <v>254</v>
      </c>
      <c r="B37" t="s">
        <v>36</v>
      </c>
      <c r="C37" t="s">
        <v>20</v>
      </c>
      <c r="D37" t="s">
        <v>21</v>
      </c>
      <c r="E37" t="s">
        <v>62</v>
      </c>
      <c r="F37">
        <v>2054</v>
      </c>
      <c r="G37">
        <v>1318.38</v>
      </c>
      <c r="H37">
        <v>9</v>
      </c>
      <c r="I37">
        <v>0.11</v>
      </c>
      <c r="J37">
        <v>18486</v>
      </c>
      <c r="K37">
        <v>2033.46</v>
      </c>
      <c r="L37">
        <v>4587.1199999999981</v>
      </c>
      <c r="M37">
        <v>24.814021421616346</v>
      </c>
    </row>
    <row r="38" spans="1:13" x14ac:dyDescent="0.3">
      <c r="A38" t="s">
        <v>255</v>
      </c>
      <c r="B38" t="s">
        <v>256</v>
      </c>
      <c r="C38" t="s">
        <v>29</v>
      </c>
      <c r="D38" t="s">
        <v>21</v>
      </c>
      <c r="E38" t="s">
        <v>22</v>
      </c>
      <c r="F38">
        <v>2082</v>
      </c>
      <c r="G38">
        <v>1572</v>
      </c>
      <c r="H38">
        <v>6</v>
      </c>
      <c r="I38">
        <v>0</v>
      </c>
      <c r="J38">
        <v>12492</v>
      </c>
      <c r="K38">
        <v>0</v>
      </c>
      <c r="L38">
        <v>3060</v>
      </c>
      <c r="M38">
        <v>24.495677233429394</v>
      </c>
    </row>
    <row r="39" spans="1:13" x14ac:dyDescent="0.3">
      <c r="A39" t="s">
        <v>259</v>
      </c>
      <c r="B39" t="s">
        <v>260</v>
      </c>
      <c r="C39" t="s">
        <v>25</v>
      </c>
      <c r="D39" t="s">
        <v>21</v>
      </c>
      <c r="E39" t="s">
        <v>22</v>
      </c>
      <c r="F39">
        <v>1953</v>
      </c>
      <c r="G39">
        <v>1440.04</v>
      </c>
      <c r="H39">
        <v>2</v>
      </c>
      <c r="I39">
        <v>0.4</v>
      </c>
      <c r="J39">
        <v>3906</v>
      </c>
      <c r="K39">
        <v>1562.4</v>
      </c>
      <c r="L39">
        <v>-536.48</v>
      </c>
      <c r="M39">
        <v>-13.734767025089607</v>
      </c>
    </row>
    <row r="40" spans="1:13" x14ac:dyDescent="0.3">
      <c r="A40" t="s">
        <v>267</v>
      </c>
      <c r="B40" t="s">
        <v>268</v>
      </c>
      <c r="C40" t="s">
        <v>15</v>
      </c>
      <c r="D40" t="s">
        <v>21</v>
      </c>
      <c r="E40" t="s">
        <v>62</v>
      </c>
      <c r="F40">
        <v>2308</v>
      </c>
      <c r="G40">
        <v>1291.22</v>
      </c>
      <c r="H40">
        <v>2</v>
      </c>
      <c r="I40">
        <v>0.15</v>
      </c>
      <c r="J40">
        <v>4616</v>
      </c>
      <c r="K40">
        <v>692.4</v>
      </c>
      <c r="L40">
        <v>1341.1599999999999</v>
      </c>
      <c r="M40">
        <v>29.054592720970536</v>
      </c>
    </row>
    <row r="41" spans="1:13" x14ac:dyDescent="0.3">
      <c r="A41" t="s">
        <v>272</v>
      </c>
      <c r="B41" t="s">
        <v>273</v>
      </c>
      <c r="C41" t="s">
        <v>20</v>
      </c>
      <c r="D41" t="s">
        <v>21</v>
      </c>
      <c r="E41" t="s">
        <v>37</v>
      </c>
      <c r="F41">
        <v>2285</v>
      </c>
      <c r="G41">
        <v>1529.5</v>
      </c>
      <c r="H41">
        <v>10</v>
      </c>
      <c r="I41">
        <v>0.15</v>
      </c>
      <c r="J41">
        <v>22850</v>
      </c>
      <c r="K41">
        <v>3427.5</v>
      </c>
      <c r="L41">
        <v>4127.5</v>
      </c>
      <c r="M41">
        <v>18.063457330415755</v>
      </c>
    </row>
    <row r="42" spans="1:13" x14ac:dyDescent="0.3">
      <c r="A42" t="s">
        <v>278</v>
      </c>
      <c r="B42" t="s">
        <v>279</v>
      </c>
      <c r="C42" t="s">
        <v>15</v>
      </c>
      <c r="D42" t="s">
        <v>21</v>
      </c>
      <c r="E42" t="s">
        <v>47</v>
      </c>
      <c r="F42">
        <v>2295</v>
      </c>
      <c r="G42">
        <v>1445.36</v>
      </c>
      <c r="H42">
        <v>5</v>
      </c>
      <c r="I42">
        <v>0.05</v>
      </c>
      <c r="J42">
        <v>11475</v>
      </c>
      <c r="K42">
        <v>573.75</v>
      </c>
      <c r="L42">
        <v>3674.4500000000007</v>
      </c>
      <c r="M42">
        <v>32.021350762527241</v>
      </c>
    </row>
    <row r="43" spans="1:13" x14ac:dyDescent="0.3">
      <c r="A43" t="s">
        <v>285</v>
      </c>
      <c r="B43" t="s">
        <v>127</v>
      </c>
      <c r="C43" t="s">
        <v>20</v>
      </c>
      <c r="D43" t="s">
        <v>21</v>
      </c>
      <c r="E43" t="s">
        <v>22</v>
      </c>
      <c r="F43">
        <v>561</v>
      </c>
      <c r="G43">
        <v>445.18</v>
      </c>
      <c r="H43">
        <v>9</v>
      </c>
      <c r="I43">
        <v>0.13</v>
      </c>
      <c r="J43">
        <v>5049</v>
      </c>
      <c r="K43">
        <v>656.37</v>
      </c>
      <c r="L43">
        <v>386.0100000000001</v>
      </c>
      <c r="M43">
        <v>7.6452762923351179</v>
      </c>
    </row>
    <row r="44" spans="1:13" x14ac:dyDescent="0.3">
      <c r="A44" t="s">
        <v>286</v>
      </c>
      <c r="B44" t="s">
        <v>44</v>
      </c>
      <c r="C44" t="s">
        <v>15</v>
      </c>
      <c r="D44" t="s">
        <v>21</v>
      </c>
      <c r="E44" t="s">
        <v>37</v>
      </c>
      <c r="F44">
        <v>1757</v>
      </c>
      <c r="G44">
        <v>969.39</v>
      </c>
      <c r="H44">
        <v>1</v>
      </c>
      <c r="I44">
        <v>0.08</v>
      </c>
      <c r="J44">
        <v>1757</v>
      </c>
      <c r="K44">
        <v>140.56</v>
      </c>
      <c r="L44">
        <v>647.04999999999995</v>
      </c>
      <c r="M44">
        <v>36.826977803073419</v>
      </c>
    </row>
    <row r="45" spans="1:13" x14ac:dyDescent="0.3">
      <c r="A45" t="s">
        <v>288</v>
      </c>
      <c r="B45" t="s">
        <v>289</v>
      </c>
      <c r="C45" t="s">
        <v>20</v>
      </c>
      <c r="D45" t="s">
        <v>21</v>
      </c>
      <c r="E45" t="s">
        <v>47</v>
      </c>
      <c r="F45">
        <v>704</v>
      </c>
      <c r="G45">
        <v>555.12</v>
      </c>
      <c r="H45">
        <v>6</v>
      </c>
      <c r="I45">
        <v>0.01</v>
      </c>
      <c r="J45">
        <v>4224</v>
      </c>
      <c r="K45">
        <v>42.24</v>
      </c>
      <c r="L45">
        <v>851.03999999999974</v>
      </c>
      <c r="M45">
        <v>20.147727272727266</v>
      </c>
    </row>
    <row r="46" spans="1:13" x14ac:dyDescent="0.3">
      <c r="A46" t="s">
        <v>290</v>
      </c>
      <c r="B46" t="s">
        <v>179</v>
      </c>
      <c r="C46" t="s">
        <v>15</v>
      </c>
      <c r="D46" t="s">
        <v>21</v>
      </c>
      <c r="E46" t="s">
        <v>47</v>
      </c>
      <c r="F46">
        <v>1428</v>
      </c>
      <c r="G46">
        <v>1089.53</v>
      </c>
      <c r="H46">
        <v>1</v>
      </c>
      <c r="I46">
        <v>0.17</v>
      </c>
      <c r="J46">
        <v>1428</v>
      </c>
      <c r="K46">
        <v>242.76000000000002</v>
      </c>
      <c r="L46">
        <v>95.710000000000008</v>
      </c>
      <c r="M46">
        <v>6.7023809523809526</v>
      </c>
    </row>
    <row r="47" spans="1:13" x14ac:dyDescent="0.3">
      <c r="A47" t="s">
        <v>293</v>
      </c>
      <c r="B47" t="s">
        <v>294</v>
      </c>
      <c r="C47" t="s">
        <v>25</v>
      </c>
      <c r="D47" t="s">
        <v>21</v>
      </c>
      <c r="E47" t="s">
        <v>37</v>
      </c>
      <c r="F47">
        <v>1989</v>
      </c>
      <c r="G47">
        <v>1236.77</v>
      </c>
      <c r="H47">
        <v>5</v>
      </c>
      <c r="I47">
        <v>0.36</v>
      </c>
      <c r="J47">
        <v>9945</v>
      </c>
      <c r="K47">
        <v>3580.2</v>
      </c>
      <c r="L47">
        <v>180.94999999999982</v>
      </c>
      <c r="M47">
        <v>1.8195072900955238</v>
      </c>
    </row>
    <row r="48" spans="1:13" x14ac:dyDescent="0.3">
      <c r="A48" t="s">
        <v>295</v>
      </c>
      <c r="B48" t="s">
        <v>76</v>
      </c>
      <c r="C48" t="s">
        <v>15</v>
      </c>
      <c r="D48" t="s">
        <v>21</v>
      </c>
      <c r="E48" t="s">
        <v>62</v>
      </c>
      <c r="F48">
        <v>2227</v>
      </c>
      <c r="G48">
        <v>1252.2</v>
      </c>
      <c r="H48">
        <v>9</v>
      </c>
      <c r="I48">
        <v>7.0000000000000007E-2</v>
      </c>
      <c r="J48">
        <v>20043</v>
      </c>
      <c r="K48">
        <v>1403.0100000000002</v>
      </c>
      <c r="L48">
        <v>7370.1899999999987</v>
      </c>
      <c r="M48">
        <v>36.771890435563535</v>
      </c>
    </row>
    <row r="49" spans="1:13" x14ac:dyDescent="0.3">
      <c r="A49" t="s">
        <v>304</v>
      </c>
      <c r="B49" t="s">
        <v>305</v>
      </c>
      <c r="C49" t="s">
        <v>15</v>
      </c>
      <c r="D49" t="s">
        <v>21</v>
      </c>
      <c r="E49" t="s">
        <v>62</v>
      </c>
      <c r="F49">
        <v>1185</v>
      </c>
      <c r="G49">
        <v>850.44</v>
      </c>
      <c r="H49">
        <v>5</v>
      </c>
      <c r="I49">
        <v>0.05</v>
      </c>
      <c r="J49">
        <v>5925</v>
      </c>
      <c r="K49">
        <v>296.25</v>
      </c>
      <c r="L49">
        <v>1376.5499999999993</v>
      </c>
      <c r="M49">
        <v>23.23291139240505</v>
      </c>
    </row>
    <row r="50" spans="1:13" x14ac:dyDescent="0.3">
      <c r="A50" t="s">
        <v>309</v>
      </c>
      <c r="B50" t="s">
        <v>221</v>
      </c>
      <c r="C50" t="s">
        <v>15</v>
      </c>
      <c r="D50" t="s">
        <v>21</v>
      </c>
      <c r="E50" t="s">
        <v>22</v>
      </c>
      <c r="F50">
        <v>1155</v>
      </c>
      <c r="G50">
        <v>899.37</v>
      </c>
      <c r="H50">
        <v>3</v>
      </c>
      <c r="I50">
        <v>0.11</v>
      </c>
      <c r="J50">
        <v>3465</v>
      </c>
      <c r="K50">
        <v>381.15</v>
      </c>
      <c r="L50">
        <v>385.7399999999999</v>
      </c>
      <c r="M50">
        <v>11.13246753246753</v>
      </c>
    </row>
    <row r="51" spans="1:13" x14ac:dyDescent="0.3">
      <c r="A51" t="s">
        <v>315</v>
      </c>
      <c r="B51" t="s">
        <v>129</v>
      </c>
      <c r="C51" t="s">
        <v>25</v>
      </c>
      <c r="D51" t="s">
        <v>21</v>
      </c>
      <c r="E51" t="s">
        <v>37</v>
      </c>
      <c r="F51">
        <v>1668</v>
      </c>
      <c r="G51">
        <v>984.25</v>
      </c>
      <c r="H51">
        <v>5</v>
      </c>
      <c r="I51">
        <v>0.28999999999999998</v>
      </c>
      <c r="J51">
        <v>8340</v>
      </c>
      <c r="K51">
        <v>2418.6</v>
      </c>
      <c r="L51">
        <v>1000.1500000000001</v>
      </c>
      <c r="M51">
        <v>11.992206235011992</v>
      </c>
    </row>
    <row r="52" spans="1:13" x14ac:dyDescent="0.3">
      <c r="A52" t="s">
        <v>317</v>
      </c>
      <c r="B52" t="s">
        <v>318</v>
      </c>
      <c r="C52" t="s">
        <v>29</v>
      </c>
      <c r="D52" t="s">
        <v>21</v>
      </c>
      <c r="E52" t="s">
        <v>22</v>
      </c>
      <c r="F52">
        <v>1490</v>
      </c>
      <c r="G52">
        <v>1097.93</v>
      </c>
      <c r="H52">
        <v>7</v>
      </c>
      <c r="I52">
        <v>0.23</v>
      </c>
      <c r="J52">
        <v>10430</v>
      </c>
      <c r="K52">
        <v>2398.9</v>
      </c>
      <c r="L52">
        <v>345.58999999999969</v>
      </c>
      <c r="M52">
        <v>3.3134228187919432</v>
      </c>
    </row>
    <row r="53" spans="1:13" x14ac:dyDescent="0.3">
      <c r="A53" t="s">
        <v>319</v>
      </c>
      <c r="B53" t="s">
        <v>107</v>
      </c>
      <c r="C53" t="s">
        <v>29</v>
      </c>
      <c r="D53" t="s">
        <v>21</v>
      </c>
      <c r="E53" t="s">
        <v>47</v>
      </c>
      <c r="F53">
        <v>700</v>
      </c>
      <c r="G53">
        <v>568.83000000000004</v>
      </c>
      <c r="H53">
        <v>7</v>
      </c>
      <c r="I53">
        <v>0.2</v>
      </c>
      <c r="J53">
        <v>4900</v>
      </c>
      <c r="K53">
        <v>980</v>
      </c>
      <c r="L53">
        <v>-61.8100000000004</v>
      </c>
      <c r="M53">
        <v>-1.2614285714285796</v>
      </c>
    </row>
    <row r="54" spans="1:13" x14ac:dyDescent="0.3">
      <c r="A54" t="s">
        <v>328</v>
      </c>
      <c r="B54" t="s">
        <v>329</v>
      </c>
      <c r="C54" t="s">
        <v>29</v>
      </c>
      <c r="D54" t="s">
        <v>21</v>
      </c>
      <c r="E54" t="s">
        <v>62</v>
      </c>
      <c r="F54">
        <v>1198</v>
      </c>
      <c r="G54">
        <v>782.63</v>
      </c>
      <c r="H54">
        <v>6</v>
      </c>
      <c r="I54">
        <v>0.14000000000000001</v>
      </c>
      <c r="J54">
        <v>7188</v>
      </c>
      <c r="K54">
        <v>1006.32</v>
      </c>
      <c r="L54">
        <v>1485.9</v>
      </c>
      <c r="M54">
        <v>20.671953255425709</v>
      </c>
    </row>
    <row r="55" spans="1:13" x14ac:dyDescent="0.3">
      <c r="A55" t="s">
        <v>334</v>
      </c>
      <c r="B55" t="s">
        <v>335</v>
      </c>
      <c r="C55" t="s">
        <v>15</v>
      </c>
      <c r="D55" t="s">
        <v>21</v>
      </c>
      <c r="E55" t="s">
        <v>62</v>
      </c>
      <c r="F55">
        <v>1776</v>
      </c>
      <c r="G55">
        <v>1105.21</v>
      </c>
      <c r="H55">
        <v>1</v>
      </c>
      <c r="I55">
        <v>0.15</v>
      </c>
      <c r="J55">
        <v>1776</v>
      </c>
      <c r="K55">
        <v>266.39999999999998</v>
      </c>
      <c r="L55">
        <v>404.39</v>
      </c>
      <c r="M55">
        <v>22.769707207207208</v>
      </c>
    </row>
    <row r="56" spans="1:13" x14ac:dyDescent="0.3">
      <c r="A56" t="s">
        <v>338</v>
      </c>
      <c r="B56" t="s">
        <v>339</v>
      </c>
      <c r="C56" t="s">
        <v>15</v>
      </c>
      <c r="D56" t="s">
        <v>21</v>
      </c>
      <c r="E56" t="s">
        <v>62</v>
      </c>
      <c r="F56">
        <v>797</v>
      </c>
      <c r="G56">
        <v>646.87</v>
      </c>
      <c r="H56">
        <v>4</v>
      </c>
      <c r="I56">
        <v>0.18</v>
      </c>
      <c r="J56">
        <v>3188</v>
      </c>
      <c r="K56">
        <v>573.84</v>
      </c>
      <c r="L56">
        <v>26.67999999999995</v>
      </c>
      <c r="M56">
        <v>0.83688833124215645</v>
      </c>
    </row>
    <row r="57" spans="1:13" x14ac:dyDescent="0.3">
      <c r="A57" t="s">
        <v>340</v>
      </c>
      <c r="B57" t="s">
        <v>260</v>
      </c>
      <c r="C57" t="s">
        <v>15</v>
      </c>
      <c r="D57" t="s">
        <v>21</v>
      </c>
      <c r="E57" t="s">
        <v>62</v>
      </c>
      <c r="F57">
        <v>778</v>
      </c>
      <c r="G57">
        <v>558.5</v>
      </c>
      <c r="H57">
        <v>3</v>
      </c>
      <c r="I57">
        <v>0.19</v>
      </c>
      <c r="J57">
        <v>2334</v>
      </c>
      <c r="K57">
        <v>443.46</v>
      </c>
      <c r="L57">
        <v>215.04000000000002</v>
      </c>
      <c r="M57">
        <v>9.2133676092544992</v>
      </c>
    </row>
    <row r="58" spans="1:13" x14ac:dyDescent="0.3">
      <c r="A58" t="s">
        <v>348</v>
      </c>
      <c r="B58" t="s">
        <v>349</v>
      </c>
      <c r="C58" t="s">
        <v>15</v>
      </c>
      <c r="D58" t="s">
        <v>21</v>
      </c>
      <c r="E58" t="s">
        <v>22</v>
      </c>
      <c r="F58">
        <v>1354</v>
      </c>
      <c r="G58">
        <v>969.52</v>
      </c>
      <c r="H58">
        <v>8</v>
      </c>
      <c r="I58">
        <v>0.08</v>
      </c>
      <c r="J58">
        <v>10832</v>
      </c>
      <c r="K58">
        <v>866.56000000000006</v>
      </c>
      <c r="L58">
        <v>2209.2800000000002</v>
      </c>
      <c r="M58">
        <v>20.395864106351553</v>
      </c>
    </row>
    <row r="59" spans="1:13" x14ac:dyDescent="0.3">
      <c r="A59" t="s">
        <v>350</v>
      </c>
      <c r="B59" t="s">
        <v>256</v>
      </c>
      <c r="C59" t="s">
        <v>25</v>
      </c>
      <c r="D59" t="s">
        <v>21</v>
      </c>
      <c r="E59" t="s">
        <v>22</v>
      </c>
      <c r="F59">
        <v>1955</v>
      </c>
      <c r="G59">
        <v>1289.92</v>
      </c>
      <c r="H59">
        <v>6</v>
      </c>
      <c r="I59">
        <v>0.31</v>
      </c>
      <c r="J59">
        <v>11730</v>
      </c>
      <c r="K59">
        <v>3636.3</v>
      </c>
      <c r="L59">
        <v>354.17999999999938</v>
      </c>
      <c r="M59">
        <v>3.0194373401534476</v>
      </c>
    </row>
    <row r="60" spans="1:13" x14ac:dyDescent="0.3">
      <c r="A60" t="s">
        <v>358</v>
      </c>
      <c r="B60" t="s">
        <v>359</v>
      </c>
      <c r="C60" t="s">
        <v>25</v>
      </c>
      <c r="D60" t="s">
        <v>21</v>
      </c>
      <c r="E60" t="s">
        <v>37</v>
      </c>
      <c r="F60">
        <v>803</v>
      </c>
      <c r="G60">
        <v>535.97</v>
      </c>
      <c r="H60">
        <v>9</v>
      </c>
      <c r="I60">
        <v>0.24</v>
      </c>
      <c r="J60">
        <v>7227</v>
      </c>
      <c r="K60">
        <v>1734.48</v>
      </c>
      <c r="L60">
        <v>668.78999999999951</v>
      </c>
      <c r="M60">
        <v>9.2540473225404671</v>
      </c>
    </row>
    <row r="61" spans="1:13" x14ac:dyDescent="0.3">
      <c r="A61" t="s">
        <v>363</v>
      </c>
      <c r="B61" t="s">
        <v>364</v>
      </c>
      <c r="C61" t="s">
        <v>29</v>
      </c>
      <c r="D61" t="s">
        <v>21</v>
      </c>
      <c r="E61" t="s">
        <v>47</v>
      </c>
      <c r="F61">
        <v>1276</v>
      </c>
      <c r="G61">
        <v>930.39</v>
      </c>
      <c r="H61">
        <v>8</v>
      </c>
      <c r="I61">
        <v>0.21</v>
      </c>
      <c r="J61">
        <v>10208</v>
      </c>
      <c r="K61">
        <v>2143.6799999999998</v>
      </c>
      <c r="L61">
        <v>621.20000000000027</v>
      </c>
      <c r="M61">
        <v>6.0854231974921662</v>
      </c>
    </row>
    <row r="62" spans="1:13" x14ac:dyDescent="0.3">
      <c r="A62" t="s">
        <v>383</v>
      </c>
      <c r="B62" t="s">
        <v>303</v>
      </c>
      <c r="C62" t="s">
        <v>15</v>
      </c>
      <c r="D62" t="s">
        <v>21</v>
      </c>
      <c r="E62" t="s">
        <v>37</v>
      </c>
      <c r="F62">
        <v>627</v>
      </c>
      <c r="G62">
        <v>450.53</v>
      </c>
      <c r="H62">
        <v>1</v>
      </c>
      <c r="I62">
        <v>0.23</v>
      </c>
      <c r="J62">
        <v>627</v>
      </c>
      <c r="K62">
        <v>144.21</v>
      </c>
      <c r="L62">
        <v>32.260000000000019</v>
      </c>
      <c r="M62">
        <v>5.145135566188201</v>
      </c>
    </row>
    <row r="63" spans="1:13" x14ac:dyDescent="0.3">
      <c r="A63" t="s">
        <v>384</v>
      </c>
      <c r="B63" t="s">
        <v>385</v>
      </c>
      <c r="C63" t="s">
        <v>20</v>
      </c>
      <c r="D63" t="s">
        <v>21</v>
      </c>
      <c r="E63" t="s">
        <v>47</v>
      </c>
      <c r="F63">
        <v>733</v>
      </c>
      <c r="G63">
        <v>484.48</v>
      </c>
      <c r="H63">
        <v>3</v>
      </c>
      <c r="I63">
        <v>0.25</v>
      </c>
      <c r="J63">
        <v>2199</v>
      </c>
      <c r="K63">
        <v>549.75</v>
      </c>
      <c r="L63">
        <v>195.80999999999995</v>
      </c>
      <c r="M63">
        <v>8.9045020463847191</v>
      </c>
    </row>
    <row r="64" spans="1:13" x14ac:dyDescent="0.3">
      <c r="A64" t="s">
        <v>387</v>
      </c>
      <c r="B64" t="s">
        <v>388</v>
      </c>
      <c r="C64" t="s">
        <v>20</v>
      </c>
      <c r="D64" t="s">
        <v>21</v>
      </c>
      <c r="E64" t="s">
        <v>37</v>
      </c>
      <c r="F64">
        <v>557</v>
      </c>
      <c r="G64">
        <v>470.1</v>
      </c>
      <c r="H64">
        <v>6</v>
      </c>
      <c r="I64">
        <v>0.2</v>
      </c>
      <c r="J64">
        <v>3342</v>
      </c>
      <c r="K64">
        <v>668.40000000000009</v>
      </c>
      <c r="L64">
        <v>-147.00000000000045</v>
      </c>
      <c r="M64">
        <v>-4.3985637342908577</v>
      </c>
    </row>
    <row r="65" spans="1:13" x14ac:dyDescent="0.3">
      <c r="A65" t="s">
        <v>396</v>
      </c>
      <c r="B65" t="s">
        <v>87</v>
      </c>
      <c r="C65" t="s">
        <v>25</v>
      </c>
      <c r="D65" t="s">
        <v>21</v>
      </c>
      <c r="E65" t="s">
        <v>37</v>
      </c>
      <c r="F65">
        <v>1179</v>
      </c>
      <c r="G65">
        <v>953.17</v>
      </c>
      <c r="H65">
        <v>1</v>
      </c>
      <c r="I65">
        <v>0.37</v>
      </c>
      <c r="J65">
        <v>1179</v>
      </c>
      <c r="K65">
        <v>436.23</v>
      </c>
      <c r="L65">
        <v>-210.39999999999998</v>
      </c>
      <c r="M65">
        <v>-17.845631891433417</v>
      </c>
    </row>
    <row r="66" spans="1:13" x14ac:dyDescent="0.3">
      <c r="A66" t="s">
        <v>399</v>
      </c>
      <c r="B66" t="s">
        <v>24</v>
      </c>
      <c r="C66" t="s">
        <v>25</v>
      </c>
      <c r="D66" t="s">
        <v>21</v>
      </c>
      <c r="E66" t="s">
        <v>22</v>
      </c>
      <c r="F66">
        <v>2271</v>
      </c>
      <c r="G66">
        <v>1461.87</v>
      </c>
      <c r="H66">
        <v>6</v>
      </c>
      <c r="I66">
        <v>0.34</v>
      </c>
      <c r="J66">
        <v>13626</v>
      </c>
      <c r="K66">
        <v>4632.84</v>
      </c>
      <c r="L66">
        <v>221.94000000000051</v>
      </c>
      <c r="M66">
        <v>1.628797886393663</v>
      </c>
    </row>
    <row r="67" spans="1:13" x14ac:dyDescent="0.3">
      <c r="A67" t="s">
        <v>401</v>
      </c>
      <c r="B67" t="s">
        <v>402</v>
      </c>
      <c r="C67" t="s">
        <v>20</v>
      </c>
      <c r="D67" t="s">
        <v>21</v>
      </c>
      <c r="E67" t="s">
        <v>47</v>
      </c>
      <c r="F67">
        <v>514</v>
      </c>
      <c r="G67">
        <v>337.28</v>
      </c>
      <c r="H67">
        <v>8</v>
      </c>
      <c r="I67">
        <v>0.22</v>
      </c>
      <c r="J67">
        <v>4112</v>
      </c>
      <c r="K67">
        <v>904.64</v>
      </c>
      <c r="L67">
        <v>509.12000000000023</v>
      </c>
      <c r="M67">
        <v>12.381322957198449</v>
      </c>
    </row>
    <row r="68" spans="1:13" x14ac:dyDescent="0.3">
      <c r="A68" t="s">
        <v>403</v>
      </c>
      <c r="B68" t="s">
        <v>404</v>
      </c>
      <c r="C68" t="s">
        <v>29</v>
      </c>
      <c r="D68" t="s">
        <v>21</v>
      </c>
      <c r="E68" t="s">
        <v>37</v>
      </c>
      <c r="F68">
        <v>2399</v>
      </c>
      <c r="G68">
        <v>1624.94</v>
      </c>
      <c r="H68">
        <v>1</v>
      </c>
      <c r="I68">
        <v>0.06</v>
      </c>
      <c r="J68">
        <v>2399</v>
      </c>
      <c r="K68">
        <v>143.94</v>
      </c>
      <c r="L68">
        <v>630.11999999999989</v>
      </c>
      <c r="M68">
        <v>26.265944143393078</v>
      </c>
    </row>
    <row r="69" spans="1:13" x14ac:dyDescent="0.3">
      <c r="A69" t="s">
        <v>407</v>
      </c>
      <c r="B69" t="s">
        <v>408</v>
      </c>
      <c r="C69" t="s">
        <v>25</v>
      </c>
      <c r="D69" t="s">
        <v>21</v>
      </c>
      <c r="E69" t="s">
        <v>37</v>
      </c>
      <c r="F69">
        <v>1674</v>
      </c>
      <c r="G69">
        <v>1229.81</v>
      </c>
      <c r="H69">
        <v>9</v>
      </c>
      <c r="I69">
        <v>0.38</v>
      </c>
      <c r="J69">
        <v>15066</v>
      </c>
      <c r="K69">
        <v>5725.08</v>
      </c>
      <c r="L69">
        <v>-1727.369999999999</v>
      </c>
      <c r="M69">
        <v>-11.465352449223412</v>
      </c>
    </row>
    <row r="70" spans="1:13" x14ac:dyDescent="0.3">
      <c r="A70" t="s">
        <v>412</v>
      </c>
      <c r="B70" t="s">
        <v>120</v>
      </c>
      <c r="C70" t="s">
        <v>25</v>
      </c>
      <c r="D70" t="s">
        <v>21</v>
      </c>
      <c r="E70" t="s">
        <v>37</v>
      </c>
      <c r="F70">
        <v>1983</v>
      </c>
      <c r="G70">
        <v>1647.32</v>
      </c>
      <c r="H70">
        <v>1</v>
      </c>
      <c r="I70">
        <v>0.31</v>
      </c>
      <c r="J70">
        <v>1983</v>
      </c>
      <c r="K70">
        <v>614.73</v>
      </c>
      <c r="L70">
        <v>-279.04999999999995</v>
      </c>
      <c r="M70">
        <v>-14.07211296016137</v>
      </c>
    </row>
    <row r="71" spans="1:13" x14ac:dyDescent="0.3">
      <c r="A71" t="s">
        <v>415</v>
      </c>
      <c r="B71" t="s">
        <v>416</v>
      </c>
      <c r="C71" t="s">
        <v>20</v>
      </c>
      <c r="D71" t="s">
        <v>21</v>
      </c>
      <c r="E71" t="s">
        <v>37</v>
      </c>
      <c r="F71">
        <v>1010</v>
      </c>
      <c r="G71">
        <v>597.98</v>
      </c>
      <c r="H71">
        <v>3</v>
      </c>
      <c r="I71">
        <v>0</v>
      </c>
      <c r="J71">
        <v>3030</v>
      </c>
      <c r="K71">
        <v>0</v>
      </c>
      <c r="L71">
        <v>1236.06</v>
      </c>
      <c r="M71">
        <v>40.794059405940594</v>
      </c>
    </row>
    <row r="72" spans="1:13" x14ac:dyDescent="0.3">
      <c r="A72" t="s">
        <v>417</v>
      </c>
      <c r="B72" t="s">
        <v>294</v>
      </c>
      <c r="C72" t="s">
        <v>15</v>
      </c>
      <c r="D72" t="s">
        <v>21</v>
      </c>
      <c r="E72" t="s">
        <v>47</v>
      </c>
      <c r="F72">
        <v>1691</v>
      </c>
      <c r="G72">
        <v>1107.18</v>
      </c>
      <c r="H72">
        <v>2</v>
      </c>
      <c r="I72">
        <v>0.05</v>
      </c>
      <c r="J72">
        <v>3382</v>
      </c>
      <c r="K72">
        <v>169.10000000000002</v>
      </c>
      <c r="L72">
        <v>998.53999999999985</v>
      </c>
      <c r="M72">
        <v>29.525133057362503</v>
      </c>
    </row>
    <row r="73" spans="1:13" x14ac:dyDescent="0.3">
      <c r="A73" t="s">
        <v>422</v>
      </c>
      <c r="B73" t="s">
        <v>423</v>
      </c>
      <c r="C73" t="s">
        <v>20</v>
      </c>
      <c r="D73" t="s">
        <v>21</v>
      </c>
      <c r="E73" t="s">
        <v>22</v>
      </c>
      <c r="F73">
        <v>677</v>
      </c>
      <c r="G73">
        <v>468.81</v>
      </c>
      <c r="H73">
        <v>8</v>
      </c>
      <c r="I73">
        <v>0.12</v>
      </c>
      <c r="J73">
        <v>5416</v>
      </c>
      <c r="K73">
        <v>649.91999999999996</v>
      </c>
      <c r="L73">
        <v>1015.6</v>
      </c>
      <c r="M73">
        <v>18.751846381093056</v>
      </c>
    </row>
    <row r="74" spans="1:13" x14ac:dyDescent="0.3">
      <c r="A74" t="s">
        <v>424</v>
      </c>
      <c r="B74" t="s">
        <v>425</v>
      </c>
      <c r="C74" t="s">
        <v>29</v>
      </c>
      <c r="D74" t="s">
        <v>21</v>
      </c>
      <c r="E74" t="s">
        <v>47</v>
      </c>
      <c r="F74">
        <v>2276</v>
      </c>
      <c r="G74">
        <v>1699.79</v>
      </c>
      <c r="H74">
        <v>7</v>
      </c>
      <c r="I74">
        <v>7.0000000000000007E-2</v>
      </c>
      <c r="J74">
        <v>15932</v>
      </c>
      <c r="K74">
        <v>1115.24</v>
      </c>
      <c r="L74">
        <v>2918.2300000000014</v>
      </c>
      <c r="M74">
        <v>18.316783831282962</v>
      </c>
    </row>
    <row r="75" spans="1:13" x14ac:dyDescent="0.3">
      <c r="A75" t="s">
        <v>427</v>
      </c>
      <c r="B75" t="s">
        <v>408</v>
      </c>
      <c r="C75" t="s">
        <v>15</v>
      </c>
      <c r="D75" t="s">
        <v>21</v>
      </c>
      <c r="E75" t="s">
        <v>47</v>
      </c>
      <c r="F75">
        <v>1909</v>
      </c>
      <c r="G75">
        <v>1529.38</v>
      </c>
      <c r="H75">
        <v>7</v>
      </c>
      <c r="I75">
        <v>0.1</v>
      </c>
      <c r="J75">
        <v>13363</v>
      </c>
      <c r="K75">
        <v>1336.3000000000002</v>
      </c>
      <c r="L75">
        <v>1321.04</v>
      </c>
      <c r="M75">
        <v>9.8858040859088536</v>
      </c>
    </row>
    <row r="76" spans="1:13" x14ac:dyDescent="0.3">
      <c r="A76" t="s">
        <v>432</v>
      </c>
      <c r="B76" t="s">
        <v>433</v>
      </c>
      <c r="C76" t="s">
        <v>20</v>
      </c>
      <c r="D76" t="s">
        <v>21</v>
      </c>
      <c r="E76" t="s">
        <v>37</v>
      </c>
      <c r="F76">
        <v>1360</v>
      </c>
      <c r="G76">
        <v>816.22</v>
      </c>
      <c r="H76">
        <v>3</v>
      </c>
      <c r="I76">
        <v>0</v>
      </c>
      <c r="J76">
        <v>4080</v>
      </c>
      <c r="K76">
        <v>0</v>
      </c>
      <c r="L76">
        <v>1631.3400000000001</v>
      </c>
      <c r="M76">
        <v>39.983823529411765</v>
      </c>
    </row>
    <row r="77" spans="1:13" x14ac:dyDescent="0.3">
      <c r="A77" t="s">
        <v>453</v>
      </c>
      <c r="B77" t="s">
        <v>364</v>
      </c>
      <c r="C77" t="s">
        <v>25</v>
      </c>
      <c r="D77" t="s">
        <v>21</v>
      </c>
      <c r="E77" t="s">
        <v>62</v>
      </c>
      <c r="F77">
        <v>1146</v>
      </c>
      <c r="G77">
        <v>913.05</v>
      </c>
      <c r="H77">
        <v>10</v>
      </c>
      <c r="I77">
        <v>0.21</v>
      </c>
      <c r="J77">
        <v>11460</v>
      </c>
      <c r="K77">
        <v>2406.6</v>
      </c>
      <c r="L77">
        <v>-77.099999999999909</v>
      </c>
      <c r="M77">
        <v>-0.67277486910994688</v>
      </c>
    </row>
    <row r="78" spans="1:13" x14ac:dyDescent="0.3">
      <c r="A78" t="s">
        <v>454</v>
      </c>
      <c r="B78" t="s">
        <v>455</v>
      </c>
      <c r="C78" t="s">
        <v>29</v>
      </c>
      <c r="D78" t="s">
        <v>21</v>
      </c>
      <c r="E78" t="s">
        <v>47</v>
      </c>
      <c r="F78">
        <v>1349</v>
      </c>
      <c r="G78">
        <v>918.51</v>
      </c>
      <c r="H78">
        <v>8</v>
      </c>
      <c r="I78">
        <v>0.11</v>
      </c>
      <c r="J78">
        <v>10792</v>
      </c>
      <c r="K78">
        <v>1187.1200000000001</v>
      </c>
      <c r="L78">
        <v>2256.8000000000002</v>
      </c>
      <c r="M78">
        <v>20.911786508524834</v>
      </c>
    </row>
    <row r="79" spans="1:13" x14ac:dyDescent="0.3">
      <c r="A79" t="s">
        <v>456</v>
      </c>
      <c r="B79" t="s">
        <v>457</v>
      </c>
      <c r="C79" t="s">
        <v>20</v>
      </c>
      <c r="D79" t="s">
        <v>21</v>
      </c>
      <c r="E79" t="s">
        <v>62</v>
      </c>
      <c r="F79">
        <v>931</v>
      </c>
      <c r="G79">
        <v>739.05</v>
      </c>
      <c r="H79">
        <v>9</v>
      </c>
      <c r="I79">
        <v>0.24</v>
      </c>
      <c r="J79">
        <v>8379</v>
      </c>
      <c r="K79">
        <v>2010.96</v>
      </c>
      <c r="L79">
        <v>-283.40999999999985</v>
      </c>
      <c r="M79">
        <v>-3.3823845327604705</v>
      </c>
    </row>
    <row r="80" spans="1:13" x14ac:dyDescent="0.3">
      <c r="A80" t="s">
        <v>458</v>
      </c>
      <c r="B80" t="s">
        <v>153</v>
      </c>
      <c r="C80" t="s">
        <v>20</v>
      </c>
      <c r="D80" t="s">
        <v>21</v>
      </c>
      <c r="E80" t="s">
        <v>37</v>
      </c>
      <c r="F80">
        <v>905</v>
      </c>
      <c r="G80">
        <v>655.53</v>
      </c>
      <c r="H80">
        <v>9</v>
      </c>
      <c r="I80">
        <v>7.0000000000000007E-2</v>
      </c>
      <c r="J80">
        <v>8145</v>
      </c>
      <c r="K80">
        <v>570.15000000000009</v>
      </c>
      <c r="L80">
        <v>1675.0800000000004</v>
      </c>
      <c r="M80">
        <v>20.565745856353594</v>
      </c>
    </row>
    <row r="81" spans="1:13" x14ac:dyDescent="0.3">
      <c r="A81" t="s">
        <v>462</v>
      </c>
      <c r="B81" t="s">
        <v>61</v>
      </c>
      <c r="C81" t="s">
        <v>20</v>
      </c>
      <c r="D81" t="s">
        <v>21</v>
      </c>
      <c r="E81" t="s">
        <v>62</v>
      </c>
      <c r="F81">
        <v>2120</v>
      </c>
      <c r="G81">
        <v>1373.44</v>
      </c>
      <c r="H81">
        <v>5</v>
      </c>
      <c r="I81">
        <v>0.13</v>
      </c>
      <c r="J81">
        <v>10600</v>
      </c>
      <c r="K81">
        <v>1378</v>
      </c>
      <c r="L81">
        <v>2354.7999999999993</v>
      </c>
      <c r="M81">
        <v>22.215094339622635</v>
      </c>
    </row>
    <row r="82" spans="1:13" x14ac:dyDescent="0.3">
      <c r="A82" t="s">
        <v>469</v>
      </c>
      <c r="B82" t="s">
        <v>151</v>
      </c>
      <c r="C82" t="s">
        <v>20</v>
      </c>
      <c r="D82" t="s">
        <v>21</v>
      </c>
      <c r="E82" t="s">
        <v>47</v>
      </c>
      <c r="F82">
        <v>1233</v>
      </c>
      <c r="G82">
        <v>727.18</v>
      </c>
      <c r="H82">
        <v>2</v>
      </c>
      <c r="I82">
        <v>0</v>
      </c>
      <c r="J82">
        <v>2466</v>
      </c>
      <c r="K82">
        <v>0</v>
      </c>
      <c r="L82">
        <v>1011.6400000000001</v>
      </c>
      <c r="M82">
        <v>41.023519870235205</v>
      </c>
    </row>
    <row r="83" spans="1:13" x14ac:dyDescent="0.3">
      <c r="A83" t="s">
        <v>474</v>
      </c>
      <c r="B83" t="s">
        <v>475</v>
      </c>
      <c r="C83" t="s">
        <v>15</v>
      </c>
      <c r="D83" t="s">
        <v>21</v>
      </c>
      <c r="E83" t="s">
        <v>62</v>
      </c>
      <c r="F83">
        <v>1357</v>
      </c>
      <c r="G83">
        <v>1019.72</v>
      </c>
      <c r="H83">
        <v>8</v>
      </c>
      <c r="I83">
        <v>7.0000000000000007E-2</v>
      </c>
      <c r="J83">
        <v>10856</v>
      </c>
      <c r="K83">
        <v>759.92000000000007</v>
      </c>
      <c r="L83">
        <v>1938.3199999999997</v>
      </c>
      <c r="M83">
        <v>17.854826823876195</v>
      </c>
    </row>
    <row r="84" spans="1:13" x14ac:dyDescent="0.3">
      <c r="A84" t="s">
        <v>476</v>
      </c>
      <c r="B84" t="s">
        <v>167</v>
      </c>
      <c r="C84" t="s">
        <v>15</v>
      </c>
      <c r="D84" t="s">
        <v>21</v>
      </c>
      <c r="E84" t="s">
        <v>62</v>
      </c>
      <c r="F84">
        <v>979</v>
      </c>
      <c r="G84">
        <v>732.89</v>
      </c>
      <c r="H84">
        <v>4</v>
      </c>
      <c r="I84">
        <v>0.05</v>
      </c>
      <c r="J84">
        <v>3916</v>
      </c>
      <c r="K84">
        <v>195.8</v>
      </c>
      <c r="L84">
        <v>788.6400000000001</v>
      </c>
      <c r="M84">
        <v>20.13891726251277</v>
      </c>
    </row>
    <row r="85" spans="1:13" x14ac:dyDescent="0.3">
      <c r="A85" t="s">
        <v>477</v>
      </c>
      <c r="B85" t="s">
        <v>478</v>
      </c>
      <c r="C85" t="s">
        <v>15</v>
      </c>
      <c r="D85" t="s">
        <v>21</v>
      </c>
      <c r="E85" t="s">
        <v>22</v>
      </c>
      <c r="F85">
        <v>1196</v>
      </c>
      <c r="G85">
        <v>908.62</v>
      </c>
      <c r="H85">
        <v>2</v>
      </c>
      <c r="I85">
        <v>0.21</v>
      </c>
      <c r="J85">
        <v>2392</v>
      </c>
      <c r="K85">
        <v>502.32</v>
      </c>
      <c r="L85">
        <v>72.44</v>
      </c>
      <c r="M85">
        <v>3.0284280936454846</v>
      </c>
    </row>
    <row r="86" spans="1:13" x14ac:dyDescent="0.3">
      <c r="A86" t="s">
        <v>482</v>
      </c>
      <c r="B86" t="s">
        <v>483</v>
      </c>
      <c r="C86" t="s">
        <v>20</v>
      </c>
      <c r="D86" t="s">
        <v>21</v>
      </c>
      <c r="E86" t="s">
        <v>62</v>
      </c>
      <c r="F86">
        <v>1243</v>
      </c>
      <c r="G86">
        <v>912.91</v>
      </c>
      <c r="H86">
        <v>3</v>
      </c>
      <c r="I86">
        <v>0.06</v>
      </c>
      <c r="J86">
        <v>3729</v>
      </c>
      <c r="K86">
        <v>223.73999999999998</v>
      </c>
      <c r="L86">
        <v>766.53</v>
      </c>
      <c r="M86">
        <v>20.555913113435238</v>
      </c>
    </row>
    <row r="87" spans="1:13" x14ac:dyDescent="0.3">
      <c r="A87" t="s">
        <v>487</v>
      </c>
      <c r="B87" t="s">
        <v>233</v>
      </c>
      <c r="C87" t="s">
        <v>15</v>
      </c>
      <c r="D87" t="s">
        <v>21</v>
      </c>
      <c r="E87" t="s">
        <v>37</v>
      </c>
      <c r="F87">
        <v>590</v>
      </c>
      <c r="G87">
        <v>480.93</v>
      </c>
      <c r="H87">
        <v>8</v>
      </c>
      <c r="I87">
        <v>0.09</v>
      </c>
      <c r="J87">
        <v>4720</v>
      </c>
      <c r="K87">
        <v>424.8</v>
      </c>
      <c r="L87">
        <v>447.75999999999993</v>
      </c>
      <c r="M87">
        <v>9.4864406779660992</v>
      </c>
    </row>
    <row r="88" spans="1:13" x14ac:dyDescent="0.3">
      <c r="A88" t="s">
        <v>492</v>
      </c>
      <c r="B88" t="s">
        <v>202</v>
      </c>
      <c r="C88" t="s">
        <v>20</v>
      </c>
      <c r="D88" t="s">
        <v>21</v>
      </c>
      <c r="E88" t="s">
        <v>47</v>
      </c>
      <c r="F88">
        <v>1548</v>
      </c>
      <c r="G88">
        <v>1122.4000000000001</v>
      </c>
      <c r="H88">
        <v>6</v>
      </c>
      <c r="I88">
        <v>0.05</v>
      </c>
      <c r="J88">
        <v>9288</v>
      </c>
      <c r="K88">
        <v>464.40000000000003</v>
      </c>
      <c r="L88">
        <v>2089.1999999999994</v>
      </c>
      <c r="M88">
        <v>22.493540051679581</v>
      </c>
    </row>
    <row r="89" spans="1:13" x14ac:dyDescent="0.3">
      <c r="A89" t="s">
        <v>495</v>
      </c>
      <c r="B89" t="s">
        <v>129</v>
      </c>
      <c r="C89" t="s">
        <v>15</v>
      </c>
      <c r="D89" t="s">
        <v>21</v>
      </c>
      <c r="E89" t="s">
        <v>47</v>
      </c>
      <c r="F89">
        <v>2309</v>
      </c>
      <c r="G89">
        <v>1431.7</v>
      </c>
      <c r="H89">
        <v>3</v>
      </c>
      <c r="I89">
        <v>0.13</v>
      </c>
      <c r="J89">
        <v>6927</v>
      </c>
      <c r="K89">
        <v>900.51</v>
      </c>
      <c r="L89">
        <v>1731.3899999999996</v>
      </c>
      <c r="M89">
        <v>24.994802944997829</v>
      </c>
    </row>
    <row r="90" spans="1:13" x14ac:dyDescent="0.3">
      <c r="A90" t="s">
        <v>508</v>
      </c>
      <c r="B90" t="s">
        <v>398</v>
      </c>
      <c r="C90" t="s">
        <v>25</v>
      </c>
      <c r="D90" t="s">
        <v>21</v>
      </c>
      <c r="E90" t="s">
        <v>22</v>
      </c>
      <c r="F90">
        <v>1307</v>
      </c>
      <c r="G90">
        <v>847.11</v>
      </c>
      <c r="H90">
        <v>3</v>
      </c>
      <c r="I90">
        <v>0.38</v>
      </c>
      <c r="J90">
        <v>3921</v>
      </c>
      <c r="K90">
        <v>1489.98</v>
      </c>
      <c r="L90">
        <v>-110.30999999999995</v>
      </c>
      <c r="M90">
        <v>-2.8133129303749027</v>
      </c>
    </row>
    <row r="91" spans="1:13" x14ac:dyDescent="0.3">
      <c r="A91" t="s">
        <v>512</v>
      </c>
      <c r="B91" t="s">
        <v>513</v>
      </c>
      <c r="C91" t="s">
        <v>20</v>
      </c>
      <c r="D91" t="s">
        <v>21</v>
      </c>
      <c r="E91" t="s">
        <v>37</v>
      </c>
      <c r="F91">
        <v>2468</v>
      </c>
      <c r="G91">
        <v>1994.02</v>
      </c>
      <c r="H91">
        <v>7</v>
      </c>
      <c r="I91">
        <v>0.11</v>
      </c>
      <c r="J91">
        <v>17276</v>
      </c>
      <c r="K91">
        <v>1900.36</v>
      </c>
      <c r="L91">
        <v>1417.5000000000007</v>
      </c>
      <c r="M91">
        <v>8.2050243111831485</v>
      </c>
    </row>
    <row r="92" spans="1:13" x14ac:dyDescent="0.3">
      <c r="A92" t="s">
        <v>514</v>
      </c>
      <c r="B92" t="s">
        <v>468</v>
      </c>
      <c r="C92" t="s">
        <v>25</v>
      </c>
      <c r="D92" t="s">
        <v>21</v>
      </c>
      <c r="E92" t="s">
        <v>62</v>
      </c>
      <c r="F92">
        <v>1674</v>
      </c>
      <c r="G92">
        <v>1056.45</v>
      </c>
      <c r="H92">
        <v>5</v>
      </c>
      <c r="I92">
        <v>0.2</v>
      </c>
      <c r="J92">
        <v>8370</v>
      </c>
      <c r="K92">
        <v>1674</v>
      </c>
      <c r="L92">
        <v>1413.75</v>
      </c>
      <c r="M92">
        <v>16.890681003584231</v>
      </c>
    </row>
    <row r="93" spans="1:13" x14ac:dyDescent="0.3">
      <c r="A93" t="s">
        <v>516</v>
      </c>
      <c r="B93" t="s">
        <v>246</v>
      </c>
      <c r="C93" t="s">
        <v>25</v>
      </c>
      <c r="D93" t="s">
        <v>21</v>
      </c>
      <c r="E93" t="s">
        <v>62</v>
      </c>
      <c r="F93">
        <v>2309</v>
      </c>
      <c r="G93">
        <v>1287.27</v>
      </c>
      <c r="H93">
        <v>2</v>
      </c>
      <c r="I93">
        <v>0.24</v>
      </c>
      <c r="J93">
        <v>4618</v>
      </c>
      <c r="K93">
        <v>1108.32</v>
      </c>
      <c r="L93">
        <v>935.1400000000001</v>
      </c>
      <c r="M93">
        <v>20.249891728020792</v>
      </c>
    </row>
    <row r="94" spans="1:13" x14ac:dyDescent="0.3">
      <c r="A94" t="s">
        <v>523</v>
      </c>
      <c r="B94" t="s">
        <v>524</v>
      </c>
      <c r="C94" t="s">
        <v>15</v>
      </c>
      <c r="D94" t="s">
        <v>21</v>
      </c>
      <c r="E94" t="s">
        <v>22</v>
      </c>
      <c r="F94">
        <v>915</v>
      </c>
      <c r="G94">
        <v>696.5</v>
      </c>
      <c r="H94">
        <v>4</v>
      </c>
      <c r="I94">
        <v>0.23</v>
      </c>
      <c r="J94">
        <v>3660</v>
      </c>
      <c r="K94">
        <v>841.80000000000007</v>
      </c>
      <c r="L94">
        <v>32.199999999999932</v>
      </c>
      <c r="M94">
        <v>0.87978142076502541</v>
      </c>
    </row>
    <row r="95" spans="1:13" x14ac:dyDescent="0.3">
      <c r="A95" t="s">
        <v>525</v>
      </c>
      <c r="B95" t="s">
        <v>475</v>
      </c>
      <c r="C95" t="s">
        <v>15</v>
      </c>
      <c r="D95" t="s">
        <v>21</v>
      </c>
      <c r="E95" t="s">
        <v>62</v>
      </c>
      <c r="F95">
        <v>1847</v>
      </c>
      <c r="G95">
        <v>1028.4100000000001</v>
      </c>
      <c r="H95">
        <v>10</v>
      </c>
      <c r="I95">
        <v>0.08</v>
      </c>
      <c r="J95">
        <v>18470</v>
      </c>
      <c r="K95">
        <v>1477.6000000000001</v>
      </c>
      <c r="L95">
        <v>6708.2999999999993</v>
      </c>
      <c r="M95">
        <v>36.319978343259336</v>
      </c>
    </row>
    <row r="96" spans="1:13" x14ac:dyDescent="0.3">
      <c r="A96" t="s">
        <v>527</v>
      </c>
      <c r="B96" t="s">
        <v>129</v>
      </c>
      <c r="C96" t="s">
        <v>15</v>
      </c>
      <c r="D96" t="s">
        <v>21</v>
      </c>
      <c r="E96" t="s">
        <v>62</v>
      </c>
      <c r="F96">
        <v>1290</v>
      </c>
      <c r="G96">
        <v>756.62</v>
      </c>
      <c r="H96">
        <v>9</v>
      </c>
      <c r="I96">
        <v>0.12</v>
      </c>
      <c r="J96">
        <v>11610</v>
      </c>
      <c r="K96">
        <v>1393.2</v>
      </c>
      <c r="L96">
        <v>3407.2200000000003</v>
      </c>
      <c r="M96">
        <v>29.347286821705428</v>
      </c>
    </row>
    <row r="97" spans="1:13" x14ac:dyDescent="0.3">
      <c r="A97" t="s">
        <v>529</v>
      </c>
      <c r="B97" t="s">
        <v>231</v>
      </c>
      <c r="C97" t="s">
        <v>29</v>
      </c>
      <c r="D97" t="s">
        <v>21</v>
      </c>
      <c r="E97" t="s">
        <v>47</v>
      </c>
      <c r="F97">
        <v>1286</v>
      </c>
      <c r="G97">
        <v>904.28</v>
      </c>
      <c r="H97">
        <v>9</v>
      </c>
      <c r="I97">
        <v>0.09</v>
      </c>
      <c r="J97">
        <v>11574</v>
      </c>
      <c r="K97">
        <v>1041.6599999999999</v>
      </c>
      <c r="L97">
        <v>2393.8200000000006</v>
      </c>
      <c r="M97">
        <v>20.682737169517889</v>
      </c>
    </row>
    <row r="98" spans="1:13" x14ac:dyDescent="0.3">
      <c r="A98" t="s">
        <v>530</v>
      </c>
      <c r="B98" t="s">
        <v>380</v>
      </c>
      <c r="C98" t="s">
        <v>29</v>
      </c>
      <c r="D98" t="s">
        <v>21</v>
      </c>
      <c r="E98" t="s">
        <v>62</v>
      </c>
      <c r="F98">
        <v>918</v>
      </c>
      <c r="G98">
        <v>610.41999999999996</v>
      </c>
      <c r="H98">
        <v>7</v>
      </c>
      <c r="I98">
        <v>0.11</v>
      </c>
      <c r="J98">
        <v>6426</v>
      </c>
      <c r="K98">
        <v>706.86</v>
      </c>
      <c r="L98">
        <v>1446.2000000000003</v>
      </c>
      <c r="M98">
        <v>22.505446623093686</v>
      </c>
    </row>
    <row r="99" spans="1:13" x14ac:dyDescent="0.3">
      <c r="A99" t="s">
        <v>536</v>
      </c>
      <c r="B99" t="s">
        <v>537</v>
      </c>
      <c r="C99" t="s">
        <v>25</v>
      </c>
      <c r="D99" t="s">
        <v>21</v>
      </c>
      <c r="E99" t="s">
        <v>62</v>
      </c>
      <c r="F99">
        <v>744</v>
      </c>
      <c r="G99">
        <v>477.67</v>
      </c>
      <c r="H99">
        <v>8</v>
      </c>
      <c r="I99">
        <v>0.33</v>
      </c>
      <c r="J99">
        <v>5952</v>
      </c>
      <c r="K99">
        <v>1964.16</v>
      </c>
      <c r="L99">
        <v>166.47999999999979</v>
      </c>
      <c r="M99">
        <v>2.7970430107526845</v>
      </c>
    </row>
    <row r="100" spans="1:13" x14ac:dyDescent="0.3">
      <c r="A100" t="s">
        <v>545</v>
      </c>
      <c r="B100" t="s">
        <v>546</v>
      </c>
      <c r="C100" t="s">
        <v>29</v>
      </c>
      <c r="D100" t="s">
        <v>21</v>
      </c>
      <c r="E100" t="s">
        <v>22</v>
      </c>
      <c r="F100">
        <v>1153</v>
      </c>
      <c r="G100">
        <v>826.13</v>
      </c>
      <c r="H100">
        <v>1</v>
      </c>
      <c r="I100">
        <v>0.24</v>
      </c>
      <c r="J100">
        <v>1153</v>
      </c>
      <c r="K100">
        <v>276.71999999999997</v>
      </c>
      <c r="L100">
        <v>50.150000000000034</v>
      </c>
      <c r="M100">
        <v>4.3495229835212523</v>
      </c>
    </row>
    <row r="101" spans="1:13" x14ac:dyDescent="0.3">
      <c r="A101" t="s">
        <v>547</v>
      </c>
      <c r="B101" t="s">
        <v>240</v>
      </c>
      <c r="C101" t="s">
        <v>25</v>
      </c>
      <c r="D101" t="s">
        <v>21</v>
      </c>
      <c r="E101" t="s">
        <v>22</v>
      </c>
      <c r="F101">
        <v>542</v>
      </c>
      <c r="G101">
        <v>307.58999999999997</v>
      </c>
      <c r="H101">
        <v>9</v>
      </c>
      <c r="I101">
        <v>0.25</v>
      </c>
      <c r="J101">
        <v>4878</v>
      </c>
      <c r="K101">
        <v>1219.5</v>
      </c>
      <c r="L101">
        <v>890.19</v>
      </c>
      <c r="M101">
        <v>18.249077490774908</v>
      </c>
    </row>
    <row r="102" spans="1:13" x14ac:dyDescent="0.3">
      <c r="A102" t="s">
        <v>548</v>
      </c>
      <c r="B102" t="s">
        <v>549</v>
      </c>
      <c r="C102" t="s">
        <v>29</v>
      </c>
      <c r="D102" t="s">
        <v>21</v>
      </c>
      <c r="E102" t="s">
        <v>22</v>
      </c>
      <c r="F102">
        <v>2500</v>
      </c>
      <c r="G102">
        <v>1706.76</v>
      </c>
      <c r="H102">
        <v>3</v>
      </c>
      <c r="I102">
        <v>0.1</v>
      </c>
      <c r="J102">
        <v>7500</v>
      </c>
      <c r="K102">
        <v>750</v>
      </c>
      <c r="L102">
        <v>1629.7200000000003</v>
      </c>
      <c r="M102">
        <v>21.729600000000005</v>
      </c>
    </row>
    <row r="103" spans="1:13" x14ac:dyDescent="0.3">
      <c r="A103" t="s">
        <v>551</v>
      </c>
      <c r="B103" t="s">
        <v>552</v>
      </c>
      <c r="C103" t="s">
        <v>25</v>
      </c>
      <c r="D103" t="s">
        <v>21</v>
      </c>
      <c r="E103" t="s">
        <v>47</v>
      </c>
      <c r="F103">
        <v>1520</v>
      </c>
      <c r="G103">
        <v>1228.7</v>
      </c>
      <c r="H103">
        <v>9</v>
      </c>
      <c r="I103">
        <v>0.28999999999999998</v>
      </c>
      <c r="J103">
        <v>13680</v>
      </c>
      <c r="K103">
        <v>3967.2</v>
      </c>
      <c r="L103">
        <v>-1345.5000000000009</v>
      </c>
      <c r="M103">
        <v>-9.8355263157894814</v>
      </c>
    </row>
    <row r="104" spans="1:13" x14ac:dyDescent="0.3">
      <c r="A104" t="s">
        <v>561</v>
      </c>
      <c r="B104" t="s">
        <v>451</v>
      </c>
      <c r="C104" t="s">
        <v>29</v>
      </c>
      <c r="D104" t="s">
        <v>21</v>
      </c>
      <c r="E104" t="s">
        <v>22</v>
      </c>
      <c r="F104">
        <v>2113</v>
      </c>
      <c r="G104">
        <v>1724.34</v>
      </c>
      <c r="H104">
        <v>4</v>
      </c>
      <c r="I104">
        <v>0.14000000000000001</v>
      </c>
      <c r="J104">
        <v>8452</v>
      </c>
      <c r="K104">
        <v>1183.2800000000002</v>
      </c>
      <c r="L104">
        <v>371.36000000000013</v>
      </c>
      <c r="M104">
        <v>4.3937529578797934</v>
      </c>
    </row>
    <row r="105" spans="1:13" x14ac:dyDescent="0.3">
      <c r="A105" t="s">
        <v>563</v>
      </c>
      <c r="B105" t="s">
        <v>564</v>
      </c>
      <c r="C105" t="s">
        <v>20</v>
      </c>
      <c r="D105" t="s">
        <v>21</v>
      </c>
      <c r="E105" t="s">
        <v>22</v>
      </c>
      <c r="F105">
        <v>893</v>
      </c>
      <c r="G105">
        <v>620.6</v>
      </c>
      <c r="H105">
        <v>2</v>
      </c>
      <c r="I105">
        <v>0.1</v>
      </c>
      <c r="J105">
        <v>1786</v>
      </c>
      <c r="K105">
        <v>178.60000000000002</v>
      </c>
      <c r="L105">
        <v>366.19999999999993</v>
      </c>
      <c r="M105">
        <v>20.503919372900331</v>
      </c>
    </row>
    <row r="106" spans="1:13" x14ac:dyDescent="0.3">
      <c r="A106" t="s">
        <v>567</v>
      </c>
      <c r="B106" t="s">
        <v>440</v>
      </c>
      <c r="C106" t="s">
        <v>15</v>
      </c>
      <c r="D106" t="s">
        <v>21</v>
      </c>
      <c r="E106" t="s">
        <v>62</v>
      </c>
      <c r="F106">
        <v>1437</v>
      </c>
      <c r="G106">
        <v>863.67</v>
      </c>
      <c r="H106">
        <v>6</v>
      </c>
      <c r="I106">
        <v>0.08</v>
      </c>
      <c r="J106">
        <v>8622</v>
      </c>
      <c r="K106">
        <v>689.76</v>
      </c>
      <c r="L106">
        <v>2750.2200000000003</v>
      </c>
      <c r="M106">
        <v>31.897703549060548</v>
      </c>
    </row>
    <row r="107" spans="1:13" x14ac:dyDescent="0.3">
      <c r="A107" t="s">
        <v>568</v>
      </c>
      <c r="B107" t="s">
        <v>569</v>
      </c>
      <c r="C107" t="s">
        <v>20</v>
      </c>
      <c r="D107" t="s">
        <v>21</v>
      </c>
      <c r="E107" t="s">
        <v>37</v>
      </c>
      <c r="F107">
        <v>736</v>
      </c>
      <c r="G107">
        <v>622.17999999999995</v>
      </c>
      <c r="H107">
        <v>3</v>
      </c>
      <c r="I107">
        <v>0.1</v>
      </c>
      <c r="J107">
        <v>2208</v>
      </c>
      <c r="K107">
        <v>220.8</v>
      </c>
      <c r="L107">
        <v>120.66000000000003</v>
      </c>
      <c r="M107">
        <v>5.4646739130434794</v>
      </c>
    </row>
    <row r="108" spans="1:13" x14ac:dyDescent="0.3">
      <c r="A108" t="s">
        <v>573</v>
      </c>
      <c r="B108" t="s">
        <v>221</v>
      </c>
      <c r="C108" t="s">
        <v>25</v>
      </c>
      <c r="D108" t="s">
        <v>21</v>
      </c>
      <c r="E108" t="s">
        <v>47</v>
      </c>
      <c r="F108">
        <v>1013</v>
      </c>
      <c r="G108">
        <v>666.13</v>
      </c>
      <c r="H108">
        <v>2</v>
      </c>
      <c r="I108">
        <v>0.36</v>
      </c>
      <c r="J108">
        <v>2026</v>
      </c>
      <c r="K108">
        <v>729.36</v>
      </c>
      <c r="L108">
        <v>-35.620000000000005</v>
      </c>
      <c r="M108">
        <v>-1.7581441263573545</v>
      </c>
    </row>
    <row r="109" spans="1:13" x14ac:dyDescent="0.3">
      <c r="A109" t="s">
        <v>577</v>
      </c>
      <c r="B109" t="s">
        <v>110</v>
      </c>
      <c r="C109" t="s">
        <v>25</v>
      </c>
      <c r="D109" t="s">
        <v>21</v>
      </c>
      <c r="E109" t="s">
        <v>62</v>
      </c>
      <c r="F109">
        <v>2249</v>
      </c>
      <c r="G109">
        <v>1840.51</v>
      </c>
      <c r="H109">
        <v>1</v>
      </c>
      <c r="I109">
        <v>0.36</v>
      </c>
      <c r="J109">
        <v>2249</v>
      </c>
      <c r="K109">
        <v>809.64</v>
      </c>
      <c r="L109">
        <v>-401.15</v>
      </c>
      <c r="M109">
        <v>-17.836816362827925</v>
      </c>
    </row>
    <row r="110" spans="1:13" x14ac:dyDescent="0.3">
      <c r="A110" t="s">
        <v>578</v>
      </c>
      <c r="B110" t="s">
        <v>74</v>
      </c>
      <c r="C110" t="s">
        <v>20</v>
      </c>
      <c r="D110" t="s">
        <v>21</v>
      </c>
      <c r="E110" t="s">
        <v>47</v>
      </c>
      <c r="F110">
        <v>1232</v>
      </c>
      <c r="G110">
        <v>1006.51</v>
      </c>
      <c r="H110">
        <v>10</v>
      </c>
      <c r="I110">
        <v>0.18</v>
      </c>
      <c r="J110">
        <v>12320</v>
      </c>
      <c r="K110">
        <v>2217.6</v>
      </c>
      <c r="L110">
        <v>37.299999999999727</v>
      </c>
      <c r="M110">
        <v>0.30275974025973801</v>
      </c>
    </row>
    <row r="111" spans="1:13" x14ac:dyDescent="0.3">
      <c r="A111" t="s">
        <v>581</v>
      </c>
      <c r="B111" t="s">
        <v>380</v>
      </c>
      <c r="C111" t="s">
        <v>25</v>
      </c>
      <c r="D111" t="s">
        <v>21</v>
      </c>
      <c r="E111" t="s">
        <v>47</v>
      </c>
      <c r="F111">
        <v>2067</v>
      </c>
      <c r="G111">
        <v>1417.62</v>
      </c>
      <c r="H111">
        <v>10</v>
      </c>
      <c r="I111">
        <v>0.21</v>
      </c>
      <c r="J111">
        <v>20670</v>
      </c>
      <c r="K111">
        <v>4340.7</v>
      </c>
      <c r="L111">
        <v>2153.1000000000013</v>
      </c>
      <c r="M111">
        <v>10.416545718432516</v>
      </c>
    </row>
    <row r="112" spans="1:13" x14ac:dyDescent="0.3">
      <c r="A112" t="s">
        <v>588</v>
      </c>
      <c r="B112" t="s">
        <v>339</v>
      </c>
      <c r="C112" t="s">
        <v>15</v>
      </c>
      <c r="D112" t="s">
        <v>21</v>
      </c>
      <c r="E112" t="s">
        <v>37</v>
      </c>
      <c r="F112">
        <v>518</v>
      </c>
      <c r="G112">
        <v>355.75</v>
      </c>
      <c r="H112">
        <v>8</v>
      </c>
      <c r="I112">
        <v>0.22</v>
      </c>
      <c r="J112">
        <v>4144</v>
      </c>
      <c r="K112">
        <v>911.68</v>
      </c>
      <c r="L112">
        <v>386.32000000000005</v>
      </c>
      <c r="M112">
        <v>9.3223938223938241</v>
      </c>
    </row>
    <row r="113" spans="1:13" x14ac:dyDescent="0.3">
      <c r="A113" t="s">
        <v>592</v>
      </c>
      <c r="B113" t="s">
        <v>133</v>
      </c>
      <c r="C113" t="s">
        <v>15</v>
      </c>
      <c r="D113" t="s">
        <v>21</v>
      </c>
      <c r="E113" t="s">
        <v>62</v>
      </c>
      <c r="F113">
        <v>2304</v>
      </c>
      <c r="G113">
        <v>1280.0999999999999</v>
      </c>
      <c r="H113">
        <v>6</v>
      </c>
      <c r="I113">
        <v>0.08</v>
      </c>
      <c r="J113">
        <v>13824</v>
      </c>
      <c r="K113">
        <v>1105.92</v>
      </c>
      <c r="L113">
        <v>5037.4800000000005</v>
      </c>
      <c r="M113">
        <v>36.440104166666671</v>
      </c>
    </row>
    <row r="114" spans="1:13" x14ac:dyDescent="0.3">
      <c r="A114" t="s">
        <v>593</v>
      </c>
      <c r="B114" t="s">
        <v>68</v>
      </c>
      <c r="C114" t="s">
        <v>15</v>
      </c>
      <c r="D114" t="s">
        <v>21</v>
      </c>
      <c r="E114" t="s">
        <v>22</v>
      </c>
      <c r="F114">
        <v>1067</v>
      </c>
      <c r="G114">
        <v>589.34</v>
      </c>
      <c r="H114">
        <v>8</v>
      </c>
      <c r="I114">
        <v>0.12</v>
      </c>
      <c r="J114">
        <v>8536</v>
      </c>
      <c r="K114">
        <v>1024.32</v>
      </c>
      <c r="L114">
        <v>2796.96</v>
      </c>
      <c r="M114">
        <v>32.766635426429239</v>
      </c>
    </row>
    <row r="115" spans="1:13" x14ac:dyDescent="0.3">
      <c r="A115" t="s">
        <v>600</v>
      </c>
      <c r="B115" t="s">
        <v>331</v>
      </c>
      <c r="C115" t="s">
        <v>15</v>
      </c>
      <c r="D115" t="s">
        <v>21</v>
      </c>
      <c r="E115" t="s">
        <v>47</v>
      </c>
      <c r="F115">
        <v>1921</v>
      </c>
      <c r="G115">
        <v>1166.56</v>
      </c>
      <c r="H115">
        <v>9</v>
      </c>
      <c r="I115">
        <v>7.0000000000000007E-2</v>
      </c>
      <c r="J115">
        <v>17289</v>
      </c>
      <c r="K115">
        <v>1210.23</v>
      </c>
      <c r="L115">
        <v>5579.7300000000014</v>
      </c>
      <c r="M115">
        <v>32.273295158771482</v>
      </c>
    </row>
    <row r="116" spans="1:13" x14ac:dyDescent="0.3">
      <c r="A116" t="s">
        <v>601</v>
      </c>
      <c r="B116" t="s">
        <v>414</v>
      </c>
      <c r="C116" t="s">
        <v>15</v>
      </c>
      <c r="D116" t="s">
        <v>21</v>
      </c>
      <c r="E116" t="s">
        <v>37</v>
      </c>
      <c r="F116">
        <v>1455</v>
      </c>
      <c r="G116">
        <v>1164.26</v>
      </c>
      <c r="H116">
        <v>3</v>
      </c>
      <c r="I116">
        <v>0.18</v>
      </c>
      <c r="J116">
        <v>4365</v>
      </c>
      <c r="K116">
        <v>785.69999999999993</v>
      </c>
      <c r="L116">
        <v>86.520000000000323</v>
      </c>
      <c r="M116">
        <v>1.9821305841924473</v>
      </c>
    </row>
    <row r="117" spans="1:13" x14ac:dyDescent="0.3">
      <c r="A117" t="s">
        <v>604</v>
      </c>
      <c r="B117" t="s">
        <v>335</v>
      </c>
      <c r="C117" t="s">
        <v>29</v>
      </c>
      <c r="D117" t="s">
        <v>21</v>
      </c>
      <c r="E117" t="s">
        <v>47</v>
      </c>
      <c r="F117">
        <v>2148</v>
      </c>
      <c r="G117">
        <v>1625.6</v>
      </c>
      <c r="H117">
        <v>10</v>
      </c>
      <c r="I117">
        <v>0.16</v>
      </c>
      <c r="J117">
        <v>21480</v>
      </c>
      <c r="K117">
        <v>3436.8</v>
      </c>
      <c r="L117">
        <v>1787.1999999999998</v>
      </c>
      <c r="M117">
        <v>8.3202979515828659</v>
      </c>
    </row>
    <row r="118" spans="1:13" x14ac:dyDescent="0.3">
      <c r="A118" t="s">
        <v>13</v>
      </c>
      <c r="B118" t="s">
        <v>14</v>
      </c>
      <c r="C118" t="s">
        <v>15</v>
      </c>
      <c r="D118" t="s">
        <v>16</v>
      </c>
      <c r="E118" t="s">
        <v>17</v>
      </c>
      <c r="F118">
        <v>5772</v>
      </c>
      <c r="G118">
        <v>4716.21</v>
      </c>
      <c r="H118">
        <v>5</v>
      </c>
      <c r="I118">
        <v>0.18</v>
      </c>
      <c r="J118">
        <v>28860</v>
      </c>
      <c r="K118">
        <v>5194.8</v>
      </c>
      <c r="L118">
        <v>84.150000000000546</v>
      </c>
      <c r="M118">
        <v>0.29158004158004347</v>
      </c>
    </row>
    <row r="119" spans="1:13" x14ac:dyDescent="0.3">
      <c r="A119" t="s">
        <v>23</v>
      </c>
      <c r="B119" t="s">
        <v>24</v>
      </c>
      <c r="C119" t="s">
        <v>25</v>
      </c>
      <c r="D119" t="s">
        <v>16</v>
      </c>
      <c r="E119" t="s">
        <v>26</v>
      </c>
      <c r="F119">
        <v>3545</v>
      </c>
      <c r="G119">
        <v>2762.16</v>
      </c>
      <c r="H119">
        <v>4</v>
      </c>
      <c r="I119">
        <v>0.28999999999999998</v>
      </c>
      <c r="J119">
        <v>14180</v>
      </c>
      <c r="K119">
        <v>4112.2</v>
      </c>
      <c r="L119">
        <v>-980.83999999999924</v>
      </c>
      <c r="M119">
        <v>-6.9170662905500651</v>
      </c>
    </row>
    <row r="120" spans="1:13" x14ac:dyDescent="0.3">
      <c r="A120" t="s">
        <v>38</v>
      </c>
      <c r="B120" t="s">
        <v>39</v>
      </c>
      <c r="C120" t="s">
        <v>29</v>
      </c>
      <c r="D120" t="s">
        <v>16</v>
      </c>
      <c r="E120" t="s">
        <v>40</v>
      </c>
      <c r="F120">
        <v>2526</v>
      </c>
      <c r="G120">
        <v>2041.92</v>
      </c>
      <c r="H120">
        <v>5</v>
      </c>
      <c r="I120">
        <v>0.1</v>
      </c>
      <c r="J120">
        <v>12630</v>
      </c>
      <c r="K120">
        <v>1263</v>
      </c>
      <c r="L120">
        <v>1157.3999999999996</v>
      </c>
      <c r="M120">
        <v>9.1638954869358642</v>
      </c>
    </row>
    <row r="121" spans="1:13" x14ac:dyDescent="0.3">
      <c r="A121" t="s">
        <v>41</v>
      </c>
      <c r="B121" t="s">
        <v>42</v>
      </c>
      <c r="C121" t="s">
        <v>20</v>
      </c>
      <c r="D121" t="s">
        <v>16</v>
      </c>
      <c r="E121" t="s">
        <v>40</v>
      </c>
      <c r="F121">
        <v>2492</v>
      </c>
      <c r="G121">
        <v>1409.56</v>
      </c>
      <c r="H121">
        <v>2</v>
      </c>
      <c r="I121">
        <v>0.01</v>
      </c>
      <c r="J121">
        <v>4984</v>
      </c>
      <c r="K121">
        <v>49.84</v>
      </c>
      <c r="L121">
        <v>2115.04</v>
      </c>
      <c r="M121">
        <v>42.436597110754413</v>
      </c>
    </row>
    <row r="122" spans="1:13" x14ac:dyDescent="0.3">
      <c r="A122" t="s">
        <v>43</v>
      </c>
      <c r="B122" t="s">
        <v>44</v>
      </c>
      <c r="C122" t="s">
        <v>20</v>
      </c>
      <c r="D122" t="s">
        <v>16</v>
      </c>
      <c r="E122" t="s">
        <v>17</v>
      </c>
      <c r="F122">
        <v>3077</v>
      </c>
      <c r="G122">
        <v>2113.63</v>
      </c>
      <c r="H122">
        <v>8</v>
      </c>
      <c r="I122">
        <v>0.19</v>
      </c>
      <c r="J122">
        <v>24616</v>
      </c>
      <c r="K122">
        <v>4677.04</v>
      </c>
      <c r="L122">
        <v>3029.9199999999992</v>
      </c>
      <c r="M122">
        <v>12.30874228144296</v>
      </c>
    </row>
    <row r="123" spans="1:13" x14ac:dyDescent="0.3">
      <c r="A123" t="s">
        <v>48</v>
      </c>
      <c r="B123" t="s">
        <v>49</v>
      </c>
      <c r="C123" t="s">
        <v>15</v>
      </c>
      <c r="D123" t="s">
        <v>16</v>
      </c>
      <c r="E123" t="s">
        <v>40</v>
      </c>
      <c r="F123">
        <v>3153</v>
      </c>
      <c r="G123">
        <v>1878.18</v>
      </c>
      <c r="H123">
        <v>9</v>
      </c>
      <c r="I123">
        <v>0.18</v>
      </c>
      <c r="J123">
        <v>28377</v>
      </c>
      <c r="K123">
        <v>5107.8599999999997</v>
      </c>
      <c r="L123">
        <v>6365.5200000000013</v>
      </c>
      <c r="M123">
        <v>22.431969552806855</v>
      </c>
    </row>
    <row r="124" spans="1:13" x14ac:dyDescent="0.3">
      <c r="A124" t="s">
        <v>50</v>
      </c>
      <c r="B124" t="s">
        <v>51</v>
      </c>
      <c r="C124" t="s">
        <v>20</v>
      </c>
      <c r="D124" t="s">
        <v>16</v>
      </c>
      <c r="E124" t="s">
        <v>17</v>
      </c>
      <c r="F124">
        <v>2731</v>
      </c>
      <c r="G124">
        <v>2116.7199999999998</v>
      </c>
      <c r="H124">
        <v>10</v>
      </c>
      <c r="I124">
        <v>0.01</v>
      </c>
      <c r="J124">
        <v>27310</v>
      </c>
      <c r="K124">
        <v>273.10000000000002</v>
      </c>
      <c r="L124">
        <v>5869.7000000000025</v>
      </c>
      <c r="M124">
        <v>21.49285975833029</v>
      </c>
    </row>
    <row r="125" spans="1:13" x14ac:dyDescent="0.3">
      <c r="A125" t="s">
        <v>67</v>
      </c>
      <c r="B125" t="s">
        <v>68</v>
      </c>
      <c r="C125" t="s">
        <v>15</v>
      </c>
      <c r="D125" t="s">
        <v>16</v>
      </c>
      <c r="E125" t="s">
        <v>26</v>
      </c>
      <c r="F125">
        <v>5278</v>
      </c>
      <c r="G125">
        <v>3934.5</v>
      </c>
      <c r="H125">
        <v>1</v>
      </c>
      <c r="I125">
        <v>7.0000000000000007E-2</v>
      </c>
      <c r="J125">
        <v>5278</v>
      </c>
      <c r="K125">
        <v>369.46000000000004</v>
      </c>
      <c r="L125">
        <v>974.04</v>
      </c>
      <c r="M125">
        <v>18.454717696097006</v>
      </c>
    </row>
    <row r="126" spans="1:13" x14ac:dyDescent="0.3">
      <c r="A126" t="s">
        <v>69</v>
      </c>
      <c r="B126" t="s">
        <v>70</v>
      </c>
      <c r="C126" t="s">
        <v>20</v>
      </c>
      <c r="D126" t="s">
        <v>16</v>
      </c>
      <c r="E126" t="s">
        <v>26</v>
      </c>
      <c r="F126">
        <v>4432</v>
      </c>
      <c r="G126">
        <v>3511.48</v>
      </c>
      <c r="H126">
        <v>2</v>
      </c>
      <c r="I126">
        <v>0.09</v>
      </c>
      <c r="J126">
        <v>8864</v>
      </c>
      <c r="K126">
        <v>797.76</v>
      </c>
      <c r="L126">
        <v>1043.28</v>
      </c>
      <c r="M126">
        <v>11.769855595667869</v>
      </c>
    </row>
    <row r="127" spans="1:13" x14ac:dyDescent="0.3">
      <c r="A127" t="s">
        <v>73</v>
      </c>
      <c r="B127" t="s">
        <v>74</v>
      </c>
      <c r="C127" t="s">
        <v>20</v>
      </c>
      <c r="D127" t="s">
        <v>16</v>
      </c>
      <c r="E127" t="s">
        <v>40</v>
      </c>
      <c r="F127">
        <v>3134</v>
      </c>
      <c r="G127">
        <v>2294.46</v>
      </c>
      <c r="H127">
        <v>3</v>
      </c>
      <c r="I127">
        <v>0.12</v>
      </c>
      <c r="J127">
        <v>9402</v>
      </c>
      <c r="K127">
        <v>1128.24</v>
      </c>
      <c r="L127">
        <v>1390.3799999999999</v>
      </c>
      <c r="M127">
        <v>14.788130185067006</v>
      </c>
    </row>
    <row r="128" spans="1:13" x14ac:dyDescent="0.3">
      <c r="A128" t="s">
        <v>75</v>
      </c>
      <c r="B128" t="s">
        <v>76</v>
      </c>
      <c r="C128" t="s">
        <v>15</v>
      </c>
      <c r="D128" t="s">
        <v>16</v>
      </c>
      <c r="E128" t="s">
        <v>40</v>
      </c>
      <c r="F128">
        <v>2630</v>
      </c>
      <c r="G128">
        <v>1839.66</v>
      </c>
      <c r="H128">
        <v>6</v>
      </c>
      <c r="I128">
        <v>0.14000000000000001</v>
      </c>
      <c r="J128">
        <v>15780</v>
      </c>
      <c r="K128">
        <v>2209.2000000000003</v>
      </c>
      <c r="L128">
        <v>2532.8399999999988</v>
      </c>
      <c r="M128">
        <v>16.050950570342199</v>
      </c>
    </row>
    <row r="129" spans="1:13" x14ac:dyDescent="0.3">
      <c r="A129" t="s">
        <v>81</v>
      </c>
      <c r="B129" t="s">
        <v>70</v>
      </c>
      <c r="C129" t="s">
        <v>15</v>
      </c>
      <c r="D129" t="s">
        <v>16</v>
      </c>
      <c r="E129" t="s">
        <v>17</v>
      </c>
      <c r="F129">
        <v>3764</v>
      </c>
      <c r="G129">
        <v>2700.45</v>
      </c>
      <c r="H129">
        <v>5</v>
      </c>
      <c r="I129">
        <v>0.03</v>
      </c>
      <c r="J129">
        <v>18820</v>
      </c>
      <c r="K129">
        <v>564.6</v>
      </c>
      <c r="L129">
        <v>4753.1499999999996</v>
      </c>
      <c r="M129">
        <v>25.255844845908605</v>
      </c>
    </row>
    <row r="130" spans="1:13" x14ac:dyDescent="0.3">
      <c r="A130" t="s">
        <v>84</v>
      </c>
      <c r="B130" t="s">
        <v>55</v>
      </c>
      <c r="C130" t="s">
        <v>20</v>
      </c>
      <c r="D130" t="s">
        <v>16</v>
      </c>
      <c r="E130" t="s">
        <v>85</v>
      </c>
      <c r="F130">
        <v>3988</v>
      </c>
      <c r="G130">
        <v>2493.64</v>
      </c>
      <c r="H130">
        <v>7</v>
      </c>
      <c r="I130">
        <v>0.18</v>
      </c>
      <c r="J130">
        <v>27916</v>
      </c>
      <c r="K130">
        <v>5024.88</v>
      </c>
      <c r="L130">
        <v>5435.64</v>
      </c>
      <c r="M130">
        <v>19.471414242728187</v>
      </c>
    </row>
    <row r="131" spans="1:13" x14ac:dyDescent="0.3">
      <c r="A131" t="s">
        <v>90</v>
      </c>
      <c r="B131" t="s">
        <v>91</v>
      </c>
      <c r="C131" t="s">
        <v>25</v>
      </c>
      <c r="D131" t="s">
        <v>16</v>
      </c>
      <c r="E131" t="s">
        <v>26</v>
      </c>
      <c r="F131">
        <v>3818</v>
      </c>
      <c r="G131">
        <v>2108.84</v>
      </c>
      <c r="H131">
        <v>5</v>
      </c>
      <c r="I131">
        <v>0.3</v>
      </c>
      <c r="J131">
        <v>19090</v>
      </c>
      <c r="K131">
        <v>5727</v>
      </c>
      <c r="L131">
        <v>2818.7999999999993</v>
      </c>
      <c r="M131">
        <v>14.765845992666312</v>
      </c>
    </row>
    <row r="132" spans="1:13" x14ac:dyDescent="0.3">
      <c r="A132" t="s">
        <v>96</v>
      </c>
      <c r="B132" t="s">
        <v>97</v>
      </c>
      <c r="C132" t="s">
        <v>15</v>
      </c>
      <c r="D132" t="s">
        <v>16</v>
      </c>
      <c r="E132" t="s">
        <v>85</v>
      </c>
      <c r="F132">
        <v>2822</v>
      </c>
      <c r="G132">
        <v>1795.83</v>
      </c>
      <c r="H132">
        <v>8</v>
      </c>
      <c r="I132">
        <v>0.2</v>
      </c>
      <c r="J132">
        <v>22576</v>
      </c>
      <c r="K132">
        <v>4515.2</v>
      </c>
      <c r="L132">
        <v>3694.1600000000008</v>
      </c>
      <c r="M132">
        <v>16.363217576187104</v>
      </c>
    </row>
    <row r="133" spans="1:13" x14ac:dyDescent="0.3">
      <c r="A133" t="s">
        <v>98</v>
      </c>
      <c r="B133" t="s">
        <v>91</v>
      </c>
      <c r="C133" t="s">
        <v>20</v>
      </c>
      <c r="D133" t="s">
        <v>16</v>
      </c>
      <c r="E133" t="s">
        <v>17</v>
      </c>
      <c r="F133">
        <v>4505</v>
      </c>
      <c r="G133">
        <v>2832.47</v>
      </c>
      <c r="H133">
        <v>1</v>
      </c>
      <c r="I133">
        <v>0.13</v>
      </c>
      <c r="J133">
        <v>4505</v>
      </c>
      <c r="K133">
        <v>585.65</v>
      </c>
      <c r="L133">
        <v>1086.8800000000001</v>
      </c>
      <c r="M133">
        <v>24.126082130965596</v>
      </c>
    </row>
    <row r="134" spans="1:13" x14ac:dyDescent="0.3">
      <c r="A134" t="s">
        <v>99</v>
      </c>
      <c r="B134" t="s">
        <v>100</v>
      </c>
      <c r="C134" t="s">
        <v>15</v>
      </c>
      <c r="D134" t="s">
        <v>16</v>
      </c>
      <c r="E134" t="s">
        <v>26</v>
      </c>
      <c r="F134">
        <v>3880</v>
      </c>
      <c r="G134">
        <v>2207.0500000000002</v>
      </c>
      <c r="H134">
        <v>8</v>
      </c>
      <c r="I134">
        <v>0.18</v>
      </c>
      <c r="J134">
        <v>31040</v>
      </c>
      <c r="K134">
        <v>5587.2</v>
      </c>
      <c r="L134">
        <v>7796.3999999999987</v>
      </c>
      <c r="M134">
        <v>25.117268041237111</v>
      </c>
    </row>
    <row r="135" spans="1:13" x14ac:dyDescent="0.3">
      <c r="A135" t="s">
        <v>108</v>
      </c>
      <c r="B135" t="s">
        <v>24</v>
      </c>
      <c r="C135" t="s">
        <v>25</v>
      </c>
      <c r="D135" t="s">
        <v>16</v>
      </c>
      <c r="E135" t="s">
        <v>85</v>
      </c>
      <c r="F135">
        <v>4359</v>
      </c>
      <c r="G135">
        <v>3320.4</v>
      </c>
      <c r="H135">
        <v>5</v>
      </c>
      <c r="I135">
        <v>0.23</v>
      </c>
      <c r="J135">
        <v>21795</v>
      </c>
      <c r="K135">
        <v>5012.8500000000004</v>
      </c>
      <c r="L135">
        <v>180.14999999999964</v>
      </c>
      <c r="M135">
        <v>0.8265657260839625</v>
      </c>
    </row>
    <row r="136" spans="1:13" x14ac:dyDescent="0.3">
      <c r="A136" t="s">
        <v>109</v>
      </c>
      <c r="B136" t="s">
        <v>110</v>
      </c>
      <c r="C136" t="s">
        <v>25</v>
      </c>
      <c r="D136" t="s">
        <v>16</v>
      </c>
      <c r="E136" t="s">
        <v>26</v>
      </c>
      <c r="F136">
        <v>2663</v>
      </c>
      <c r="G136">
        <v>1874.17</v>
      </c>
      <c r="H136">
        <v>3</v>
      </c>
      <c r="I136">
        <v>0.39</v>
      </c>
      <c r="J136">
        <v>7989</v>
      </c>
      <c r="K136">
        <v>3115.71</v>
      </c>
      <c r="L136">
        <v>-749.22000000000025</v>
      </c>
      <c r="M136">
        <v>-9.3781449493052982</v>
      </c>
    </row>
    <row r="137" spans="1:13" x14ac:dyDescent="0.3">
      <c r="A137" t="s">
        <v>128</v>
      </c>
      <c r="B137" t="s">
        <v>129</v>
      </c>
      <c r="C137" t="s">
        <v>20</v>
      </c>
      <c r="D137" t="s">
        <v>16</v>
      </c>
      <c r="E137" t="s">
        <v>17</v>
      </c>
      <c r="F137">
        <v>5343</v>
      </c>
      <c r="G137">
        <v>3538.65</v>
      </c>
      <c r="H137">
        <v>6</v>
      </c>
      <c r="I137">
        <v>0.17</v>
      </c>
      <c r="J137">
        <v>32058</v>
      </c>
      <c r="K137">
        <v>5449.8600000000006</v>
      </c>
      <c r="L137">
        <v>5376.239999999998</v>
      </c>
      <c r="M137">
        <v>16.770353733857377</v>
      </c>
    </row>
    <row r="138" spans="1:13" x14ac:dyDescent="0.3">
      <c r="A138" t="s">
        <v>130</v>
      </c>
      <c r="B138" t="s">
        <v>131</v>
      </c>
      <c r="C138" t="s">
        <v>20</v>
      </c>
      <c r="D138" t="s">
        <v>16</v>
      </c>
      <c r="E138" t="s">
        <v>26</v>
      </c>
      <c r="F138">
        <v>3740</v>
      </c>
      <c r="G138">
        <v>2542.0300000000002</v>
      </c>
      <c r="H138">
        <v>2</v>
      </c>
      <c r="I138">
        <v>0.09</v>
      </c>
      <c r="J138">
        <v>7480</v>
      </c>
      <c r="K138">
        <v>673.19999999999993</v>
      </c>
      <c r="L138">
        <v>1722.7399999999998</v>
      </c>
      <c r="M138">
        <v>23.031283422459889</v>
      </c>
    </row>
    <row r="139" spans="1:13" x14ac:dyDescent="0.3">
      <c r="A139" t="s">
        <v>136</v>
      </c>
      <c r="B139" t="s">
        <v>51</v>
      </c>
      <c r="C139" t="s">
        <v>15</v>
      </c>
      <c r="D139" t="s">
        <v>16</v>
      </c>
      <c r="E139" t="s">
        <v>26</v>
      </c>
      <c r="F139">
        <v>3879</v>
      </c>
      <c r="G139">
        <v>2909.78</v>
      </c>
      <c r="H139">
        <v>2</v>
      </c>
      <c r="I139">
        <v>0.11</v>
      </c>
      <c r="J139">
        <v>7758</v>
      </c>
      <c r="K139">
        <v>853.38</v>
      </c>
      <c r="L139">
        <v>1085.0599999999995</v>
      </c>
      <c r="M139">
        <v>13.986336684712548</v>
      </c>
    </row>
    <row r="140" spans="1:13" x14ac:dyDescent="0.3">
      <c r="A140" t="s">
        <v>139</v>
      </c>
      <c r="B140" t="s">
        <v>140</v>
      </c>
      <c r="C140" t="s">
        <v>15</v>
      </c>
      <c r="D140" t="s">
        <v>16</v>
      </c>
      <c r="E140" t="s">
        <v>26</v>
      </c>
      <c r="F140">
        <v>4666</v>
      </c>
      <c r="G140">
        <v>3556.07</v>
      </c>
      <c r="H140">
        <v>1</v>
      </c>
      <c r="I140">
        <v>0.01</v>
      </c>
      <c r="J140">
        <v>4666</v>
      </c>
      <c r="K140">
        <v>46.660000000000004</v>
      </c>
      <c r="L140">
        <v>1063.2699999999998</v>
      </c>
      <c r="M140">
        <v>22.787612516073718</v>
      </c>
    </row>
    <row r="141" spans="1:13" x14ac:dyDescent="0.3">
      <c r="A141" t="s">
        <v>141</v>
      </c>
      <c r="B141" t="s">
        <v>51</v>
      </c>
      <c r="C141" t="s">
        <v>20</v>
      </c>
      <c r="D141" t="s">
        <v>16</v>
      </c>
      <c r="E141" t="s">
        <v>85</v>
      </c>
      <c r="F141">
        <v>3172</v>
      </c>
      <c r="G141">
        <v>1779.95</v>
      </c>
      <c r="H141">
        <v>2</v>
      </c>
      <c r="I141">
        <v>0.15</v>
      </c>
      <c r="J141">
        <v>6344</v>
      </c>
      <c r="K141">
        <v>951.59999999999991</v>
      </c>
      <c r="L141">
        <v>1832.5</v>
      </c>
      <c r="M141">
        <v>28.885561160151322</v>
      </c>
    </row>
    <row r="142" spans="1:13" x14ac:dyDescent="0.3">
      <c r="A142" t="s">
        <v>144</v>
      </c>
      <c r="B142" t="s">
        <v>145</v>
      </c>
      <c r="C142" t="s">
        <v>29</v>
      </c>
      <c r="D142" t="s">
        <v>16</v>
      </c>
      <c r="E142" t="s">
        <v>26</v>
      </c>
      <c r="F142">
        <v>3253</v>
      </c>
      <c r="G142">
        <v>2043.16</v>
      </c>
      <c r="H142">
        <v>4</v>
      </c>
      <c r="I142">
        <v>0.13</v>
      </c>
      <c r="J142">
        <v>13012</v>
      </c>
      <c r="K142">
        <v>1691.56</v>
      </c>
      <c r="L142">
        <v>3147.7999999999997</v>
      </c>
      <c r="M142">
        <v>24.191515524131567</v>
      </c>
    </row>
    <row r="143" spans="1:13" x14ac:dyDescent="0.3">
      <c r="A143" t="s">
        <v>146</v>
      </c>
      <c r="B143" t="s">
        <v>147</v>
      </c>
      <c r="C143" t="s">
        <v>29</v>
      </c>
      <c r="D143" t="s">
        <v>16</v>
      </c>
      <c r="E143" t="s">
        <v>85</v>
      </c>
      <c r="F143">
        <v>3220</v>
      </c>
      <c r="G143">
        <v>2506.85</v>
      </c>
      <c r="H143">
        <v>8</v>
      </c>
      <c r="I143">
        <v>0.24</v>
      </c>
      <c r="J143">
        <v>25760</v>
      </c>
      <c r="K143">
        <v>6182.4</v>
      </c>
      <c r="L143">
        <v>-477.19999999999891</v>
      </c>
      <c r="M143">
        <v>-1.8524844720496851</v>
      </c>
    </row>
    <row r="144" spans="1:13" x14ac:dyDescent="0.3">
      <c r="A144" t="s">
        <v>150</v>
      </c>
      <c r="B144" t="s">
        <v>151</v>
      </c>
      <c r="C144" t="s">
        <v>15</v>
      </c>
      <c r="D144" t="s">
        <v>16</v>
      </c>
      <c r="E144" t="s">
        <v>26</v>
      </c>
      <c r="F144">
        <v>4146</v>
      </c>
      <c r="G144">
        <v>2773.25</v>
      </c>
      <c r="H144">
        <v>8</v>
      </c>
      <c r="I144">
        <v>0.06</v>
      </c>
      <c r="J144">
        <v>33168</v>
      </c>
      <c r="K144">
        <v>1990.08</v>
      </c>
      <c r="L144">
        <v>8991.92</v>
      </c>
      <c r="M144">
        <v>27.110226724553787</v>
      </c>
    </row>
    <row r="145" spans="1:13" x14ac:dyDescent="0.3">
      <c r="A145" t="s">
        <v>154</v>
      </c>
      <c r="B145" t="s">
        <v>155</v>
      </c>
      <c r="C145" t="s">
        <v>15</v>
      </c>
      <c r="D145" t="s">
        <v>16</v>
      </c>
      <c r="E145" t="s">
        <v>40</v>
      </c>
      <c r="F145">
        <v>5868</v>
      </c>
      <c r="G145">
        <v>4882.59</v>
      </c>
      <c r="H145">
        <v>8</v>
      </c>
      <c r="I145">
        <v>0.17</v>
      </c>
      <c r="J145">
        <v>46944</v>
      </c>
      <c r="K145">
        <v>7980.4800000000005</v>
      </c>
      <c r="L145">
        <v>-97.200000000001637</v>
      </c>
      <c r="M145">
        <v>-0.20705521472392988</v>
      </c>
    </row>
    <row r="146" spans="1:13" x14ac:dyDescent="0.3">
      <c r="A146" t="s">
        <v>156</v>
      </c>
      <c r="B146" t="s">
        <v>157</v>
      </c>
      <c r="C146" t="s">
        <v>15</v>
      </c>
      <c r="D146" t="s">
        <v>16</v>
      </c>
      <c r="E146" t="s">
        <v>85</v>
      </c>
      <c r="F146">
        <v>5500</v>
      </c>
      <c r="G146">
        <v>3435.46</v>
      </c>
      <c r="H146">
        <v>3</v>
      </c>
      <c r="I146">
        <v>0.19</v>
      </c>
      <c r="J146">
        <v>16500</v>
      </c>
      <c r="K146">
        <v>3135</v>
      </c>
      <c r="L146">
        <v>3058.619999999999</v>
      </c>
      <c r="M146">
        <v>18.537090909090903</v>
      </c>
    </row>
    <row r="147" spans="1:13" x14ac:dyDescent="0.3">
      <c r="A147" t="s">
        <v>158</v>
      </c>
      <c r="B147" t="s">
        <v>159</v>
      </c>
      <c r="C147" t="s">
        <v>15</v>
      </c>
      <c r="D147" t="s">
        <v>16</v>
      </c>
      <c r="E147" t="s">
        <v>85</v>
      </c>
      <c r="F147">
        <v>5006</v>
      </c>
      <c r="G147">
        <v>3061.82</v>
      </c>
      <c r="H147">
        <v>3</v>
      </c>
      <c r="I147">
        <v>7.0000000000000007E-2</v>
      </c>
      <c r="J147">
        <v>15018</v>
      </c>
      <c r="K147">
        <v>1051.26</v>
      </c>
      <c r="L147">
        <v>4781.2799999999988</v>
      </c>
      <c r="M147">
        <v>31.836995605273664</v>
      </c>
    </row>
    <row r="148" spans="1:13" x14ac:dyDescent="0.3">
      <c r="A148" t="s">
        <v>160</v>
      </c>
      <c r="B148" t="s">
        <v>161</v>
      </c>
      <c r="C148" t="s">
        <v>25</v>
      </c>
      <c r="D148" t="s">
        <v>16</v>
      </c>
      <c r="E148" t="s">
        <v>85</v>
      </c>
      <c r="F148">
        <v>4037</v>
      </c>
      <c r="G148">
        <v>2435.27</v>
      </c>
      <c r="H148">
        <v>6</v>
      </c>
      <c r="I148">
        <v>0.31</v>
      </c>
      <c r="J148">
        <v>24222</v>
      </c>
      <c r="K148">
        <v>7508.82</v>
      </c>
      <c r="L148">
        <v>2101.5600000000013</v>
      </c>
      <c r="M148">
        <v>8.6762447361902453</v>
      </c>
    </row>
    <row r="149" spans="1:13" x14ac:dyDescent="0.3">
      <c r="A149" t="s">
        <v>162</v>
      </c>
      <c r="B149" t="s">
        <v>163</v>
      </c>
      <c r="C149" t="s">
        <v>20</v>
      </c>
      <c r="D149" t="s">
        <v>16</v>
      </c>
      <c r="E149" t="s">
        <v>85</v>
      </c>
      <c r="F149">
        <v>4211</v>
      </c>
      <c r="G149">
        <v>2450.2199999999998</v>
      </c>
      <c r="H149">
        <v>6</v>
      </c>
      <c r="I149">
        <v>0.15</v>
      </c>
      <c r="J149">
        <v>25266</v>
      </c>
      <c r="K149">
        <v>3789.8999999999996</v>
      </c>
      <c r="L149">
        <v>6774.7800000000007</v>
      </c>
      <c r="M149">
        <v>26.813820945143675</v>
      </c>
    </row>
    <row r="150" spans="1:13" x14ac:dyDescent="0.3">
      <c r="A150" t="s">
        <v>182</v>
      </c>
      <c r="B150" t="s">
        <v>183</v>
      </c>
      <c r="C150" t="s">
        <v>25</v>
      </c>
      <c r="D150" t="s">
        <v>16</v>
      </c>
      <c r="E150" t="s">
        <v>26</v>
      </c>
      <c r="F150">
        <v>3568</v>
      </c>
      <c r="G150">
        <v>2774.95</v>
      </c>
      <c r="H150">
        <v>9</v>
      </c>
      <c r="I150">
        <v>0.33</v>
      </c>
      <c r="J150">
        <v>32112</v>
      </c>
      <c r="K150">
        <v>10596.960000000001</v>
      </c>
      <c r="L150">
        <v>-3459.51</v>
      </c>
      <c r="M150">
        <v>-10.773262331838565</v>
      </c>
    </row>
    <row r="151" spans="1:13" x14ac:dyDescent="0.3">
      <c r="A151" t="s">
        <v>186</v>
      </c>
      <c r="B151" t="s">
        <v>76</v>
      </c>
      <c r="C151" t="s">
        <v>20</v>
      </c>
      <c r="D151" t="s">
        <v>16</v>
      </c>
      <c r="E151" t="s">
        <v>40</v>
      </c>
      <c r="F151">
        <v>3879</v>
      </c>
      <c r="G151">
        <v>2890.67</v>
      </c>
      <c r="H151">
        <v>3</v>
      </c>
      <c r="I151">
        <v>0.17</v>
      </c>
      <c r="J151">
        <v>11637</v>
      </c>
      <c r="K151">
        <v>1978.2900000000002</v>
      </c>
      <c r="L151">
        <v>986.69999999999959</v>
      </c>
      <c r="M151">
        <v>8.4789894302655302</v>
      </c>
    </row>
    <row r="152" spans="1:13" x14ac:dyDescent="0.3">
      <c r="A152" t="s">
        <v>187</v>
      </c>
      <c r="B152" t="s">
        <v>188</v>
      </c>
      <c r="C152" t="s">
        <v>20</v>
      </c>
      <c r="D152" t="s">
        <v>16</v>
      </c>
      <c r="E152" t="s">
        <v>85</v>
      </c>
      <c r="F152">
        <v>2828</v>
      </c>
      <c r="G152">
        <v>2034.07</v>
      </c>
      <c r="H152">
        <v>10</v>
      </c>
      <c r="I152">
        <v>0.08</v>
      </c>
      <c r="J152">
        <v>28280</v>
      </c>
      <c r="K152">
        <v>2262.4</v>
      </c>
      <c r="L152">
        <v>5676.9</v>
      </c>
      <c r="M152">
        <v>20.073903818953323</v>
      </c>
    </row>
    <row r="153" spans="1:13" x14ac:dyDescent="0.3">
      <c r="A153" t="s">
        <v>212</v>
      </c>
      <c r="B153" t="s">
        <v>213</v>
      </c>
      <c r="C153" t="s">
        <v>15</v>
      </c>
      <c r="D153" t="s">
        <v>16</v>
      </c>
      <c r="E153" t="s">
        <v>40</v>
      </c>
      <c r="F153">
        <v>3762</v>
      </c>
      <c r="G153">
        <v>3174.3</v>
      </c>
      <c r="H153">
        <v>9</v>
      </c>
      <c r="I153">
        <v>7.0000000000000007E-2</v>
      </c>
      <c r="J153">
        <v>33858</v>
      </c>
      <c r="K153">
        <v>2370.0600000000004</v>
      </c>
      <c r="L153">
        <v>2919.2399999999989</v>
      </c>
      <c r="M153">
        <v>8.6220095693779886</v>
      </c>
    </row>
    <row r="154" spans="1:13" x14ac:dyDescent="0.3">
      <c r="A154" t="s">
        <v>218</v>
      </c>
      <c r="B154" t="s">
        <v>219</v>
      </c>
      <c r="C154" t="s">
        <v>20</v>
      </c>
      <c r="D154" t="s">
        <v>16</v>
      </c>
      <c r="E154" t="s">
        <v>40</v>
      </c>
      <c r="F154">
        <v>3050</v>
      </c>
      <c r="G154">
        <v>2414.75</v>
      </c>
      <c r="H154">
        <v>2</v>
      </c>
      <c r="I154">
        <v>0.25</v>
      </c>
      <c r="J154">
        <v>6100</v>
      </c>
      <c r="K154">
        <v>1525</v>
      </c>
      <c r="L154">
        <v>-254.5</v>
      </c>
      <c r="M154">
        <v>-4.1721311475409832</v>
      </c>
    </row>
    <row r="155" spans="1:13" x14ac:dyDescent="0.3">
      <c r="A155" t="s">
        <v>220</v>
      </c>
      <c r="B155" t="s">
        <v>221</v>
      </c>
      <c r="C155" t="s">
        <v>29</v>
      </c>
      <c r="D155" t="s">
        <v>16</v>
      </c>
      <c r="E155" t="s">
        <v>85</v>
      </c>
      <c r="F155">
        <v>4071</v>
      </c>
      <c r="G155">
        <v>3019.38</v>
      </c>
      <c r="H155">
        <v>10</v>
      </c>
      <c r="I155">
        <v>0.16</v>
      </c>
      <c r="J155">
        <v>40710</v>
      </c>
      <c r="K155">
        <v>6513.6</v>
      </c>
      <c r="L155">
        <v>4002.5999999999967</v>
      </c>
      <c r="M155">
        <v>9.8319823139277744</v>
      </c>
    </row>
    <row r="156" spans="1:13" x14ac:dyDescent="0.3">
      <c r="A156" t="s">
        <v>222</v>
      </c>
      <c r="B156" t="s">
        <v>223</v>
      </c>
      <c r="C156" t="s">
        <v>25</v>
      </c>
      <c r="D156" t="s">
        <v>16</v>
      </c>
      <c r="E156" t="s">
        <v>40</v>
      </c>
      <c r="F156">
        <v>3344</v>
      </c>
      <c r="G156">
        <v>1902.57</v>
      </c>
      <c r="H156">
        <v>10</v>
      </c>
      <c r="I156">
        <v>0.25</v>
      </c>
      <c r="J156">
        <v>33440</v>
      </c>
      <c r="K156">
        <v>8360</v>
      </c>
      <c r="L156">
        <v>6054.2999999999993</v>
      </c>
      <c r="M156">
        <v>18.104964114832534</v>
      </c>
    </row>
    <row r="157" spans="1:13" x14ac:dyDescent="0.3">
      <c r="A157" t="s">
        <v>226</v>
      </c>
      <c r="B157" t="s">
        <v>194</v>
      </c>
      <c r="C157" t="s">
        <v>20</v>
      </c>
      <c r="D157" t="s">
        <v>16</v>
      </c>
      <c r="E157" t="s">
        <v>26</v>
      </c>
      <c r="F157">
        <v>5713</v>
      </c>
      <c r="G157">
        <v>4500.6899999999996</v>
      </c>
      <c r="H157">
        <v>7</v>
      </c>
      <c r="I157">
        <v>0.18</v>
      </c>
      <c r="J157">
        <v>39991</v>
      </c>
      <c r="K157">
        <v>7198.38</v>
      </c>
      <c r="L157">
        <v>1287.7900000000018</v>
      </c>
      <c r="M157">
        <v>3.2201995448976062</v>
      </c>
    </row>
    <row r="158" spans="1:13" x14ac:dyDescent="0.3">
      <c r="A158" t="s">
        <v>227</v>
      </c>
      <c r="B158" t="s">
        <v>228</v>
      </c>
      <c r="C158" t="s">
        <v>25</v>
      </c>
      <c r="D158" t="s">
        <v>16</v>
      </c>
      <c r="E158" t="s">
        <v>26</v>
      </c>
      <c r="F158">
        <v>3500</v>
      </c>
      <c r="G158">
        <v>2386.9299999999998</v>
      </c>
      <c r="H158">
        <v>10</v>
      </c>
      <c r="I158">
        <v>0.26</v>
      </c>
      <c r="J158">
        <v>35000</v>
      </c>
      <c r="K158">
        <v>9100</v>
      </c>
      <c r="L158">
        <v>2030.7000000000007</v>
      </c>
      <c r="M158">
        <v>5.8020000000000023</v>
      </c>
    </row>
    <row r="159" spans="1:13" x14ac:dyDescent="0.3">
      <c r="A159" t="s">
        <v>229</v>
      </c>
      <c r="B159" t="s">
        <v>129</v>
      </c>
      <c r="C159" t="s">
        <v>29</v>
      </c>
      <c r="D159" t="s">
        <v>16</v>
      </c>
      <c r="E159" t="s">
        <v>26</v>
      </c>
      <c r="F159">
        <v>2564</v>
      </c>
      <c r="G159">
        <v>2124.19</v>
      </c>
      <c r="H159">
        <v>8</v>
      </c>
      <c r="I159">
        <v>0.14000000000000001</v>
      </c>
      <c r="J159">
        <v>20512</v>
      </c>
      <c r="K159">
        <v>2871.6800000000003</v>
      </c>
      <c r="L159">
        <v>646.79999999999927</v>
      </c>
      <c r="M159">
        <v>3.1532761310452386</v>
      </c>
    </row>
    <row r="160" spans="1:13" x14ac:dyDescent="0.3">
      <c r="A160" t="s">
        <v>232</v>
      </c>
      <c r="B160" t="s">
        <v>233</v>
      </c>
      <c r="C160" t="s">
        <v>29</v>
      </c>
      <c r="D160" t="s">
        <v>16</v>
      </c>
      <c r="E160" t="s">
        <v>26</v>
      </c>
      <c r="F160">
        <v>5517</v>
      </c>
      <c r="G160">
        <v>3339.62</v>
      </c>
      <c r="H160">
        <v>7</v>
      </c>
      <c r="I160">
        <v>0.19</v>
      </c>
      <c r="J160">
        <v>38619</v>
      </c>
      <c r="K160">
        <v>7337.61</v>
      </c>
      <c r="L160">
        <v>7904.05</v>
      </c>
      <c r="M160">
        <v>20.466739169838679</v>
      </c>
    </row>
    <row r="161" spans="1:13" x14ac:dyDescent="0.3">
      <c r="A161" t="s">
        <v>241</v>
      </c>
      <c r="B161" t="s">
        <v>242</v>
      </c>
      <c r="C161" t="s">
        <v>25</v>
      </c>
      <c r="D161" t="s">
        <v>16</v>
      </c>
      <c r="E161" t="s">
        <v>26</v>
      </c>
      <c r="F161">
        <v>3716</v>
      </c>
      <c r="G161">
        <v>2755.42</v>
      </c>
      <c r="H161">
        <v>5</v>
      </c>
      <c r="I161">
        <v>0.23</v>
      </c>
      <c r="J161">
        <v>18580</v>
      </c>
      <c r="K161">
        <v>4273.4000000000005</v>
      </c>
      <c r="L161">
        <v>529.49999999999909</v>
      </c>
      <c r="M161">
        <v>2.8498385360602749</v>
      </c>
    </row>
    <row r="162" spans="1:13" x14ac:dyDescent="0.3">
      <c r="A162" t="s">
        <v>247</v>
      </c>
      <c r="B162" t="s">
        <v>248</v>
      </c>
      <c r="C162" t="s">
        <v>15</v>
      </c>
      <c r="D162" t="s">
        <v>16</v>
      </c>
      <c r="E162" t="s">
        <v>40</v>
      </c>
      <c r="F162">
        <v>4878</v>
      </c>
      <c r="G162">
        <v>2963.63</v>
      </c>
      <c r="H162">
        <v>7</v>
      </c>
      <c r="I162">
        <v>0.02</v>
      </c>
      <c r="J162">
        <v>34146</v>
      </c>
      <c r="K162">
        <v>682.92</v>
      </c>
      <c r="L162">
        <v>12717.67</v>
      </c>
      <c r="M162">
        <v>37.244977449774495</v>
      </c>
    </row>
    <row r="163" spans="1:13" x14ac:dyDescent="0.3">
      <c r="A163" t="s">
        <v>261</v>
      </c>
      <c r="B163" t="s">
        <v>140</v>
      </c>
      <c r="C163" t="s">
        <v>20</v>
      </c>
      <c r="D163" t="s">
        <v>16</v>
      </c>
      <c r="E163" t="s">
        <v>40</v>
      </c>
      <c r="F163">
        <v>2679</v>
      </c>
      <c r="G163">
        <v>1876.33</v>
      </c>
      <c r="H163">
        <v>4</v>
      </c>
      <c r="I163">
        <v>0.2</v>
      </c>
      <c r="J163">
        <v>10716</v>
      </c>
      <c r="K163">
        <v>2143.2000000000003</v>
      </c>
      <c r="L163">
        <v>1067.48</v>
      </c>
      <c r="M163">
        <v>9.9615528182157522</v>
      </c>
    </row>
    <row r="164" spans="1:13" x14ac:dyDescent="0.3">
      <c r="A164" t="s">
        <v>262</v>
      </c>
      <c r="B164" t="s">
        <v>66</v>
      </c>
      <c r="C164" t="s">
        <v>20</v>
      </c>
      <c r="D164" t="s">
        <v>16</v>
      </c>
      <c r="E164" t="s">
        <v>40</v>
      </c>
      <c r="F164">
        <v>4490</v>
      </c>
      <c r="G164">
        <v>3413.9</v>
      </c>
      <c r="H164">
        <v>10</v>
      </c>
      <c r="I164">
        <v>0.11</v>
      </c>
      <c r="J164">
        <v>44900</v>
      </c>
      <c r="K164">
        <v>4939</v>
      </c>
      <c r="L164">
        <v>5822</v>
      </c>
      <c r="M164">
        <v>12.966592427616927</v>
      </c>
    </row>
    <row r="165" spans="1:13" x14ac:dyDescent="0.3">
      <c r="A165" t="s">
        <v>265</v>
      </c>
      <c r="B165" t="s">
        <v>266</v>
      </c>
      <c r="C165" t="s">
        <v>25</v>
      </c>
      <c r="D165" t="s">
        <v>16</v>
      </c>
      <c r="E165" t="s">
        <v>40</v>
      </c>
      <c r="F165">
        <v>5220</v>
      </c>
      <c r="G165">
        <v>3710.71</v>
      </c>
      <c r="H165">
        <v>8</v>
      </c>
      <c r="I165">
        <v>0.23</v>
      </c>
      <c r="J165">
        <v>41760</v>
      </c>
      <c r="K165">
        <v>9604.8000000000011</v>
      </c>
      <c r="L165">
        <v>2469.5199999999986</v>
      </c>
      <c r="M165">
        <v>5.9136015325670463</v>
      </c>
    </row>
    <row r="166" spans="1:13" x14ac:dyDescent="0.3">
      <c r="A166" t="s">
        <v>271</v>
      </c>
      <c r="B166" t="s">
        <v>251</v>
      </c>
      <c r="C166" t="s">
        <v>25</v>
      </c>
      <c r="D166" t="s">
        <v>16</v>
      </c>
      <c r="E166" t="s">
        <v>85</v>
      </c>
      <c r="F166">
        <v>5534</v>
      </c>
      <c r="G166">
        <v>3448.74</v>
      </c>
      <c r="H166">
        <v>10</v>
      </c>
      <c r="I166">
        <v>0.28999999999999998</v>
      </c>
      <c r="J166">
        <v>55340</v>
      </c>
      <c r="K166">
        <v>16048.599999999999</v>
      </c>
      <c r="L166">
        <v>4804.0000000000073</v>
      </c>
      <c r="M166">
        <v>8.680881821467306</v>
      </c>
    </row>
    <row r="167" spans="1:13" x14ac:dyDescent="0.3">
      <c r="A167" t="s">
        <v>274</v>
      </c>
      <c r="B167" t="s">
        <v>275</v>
      </c>
      <c r="C167" t="s">
        <v>29</v>
      </c>
      <c r="D167" t="s">
        <v>16</v>
      </c>
      <c r="E167" t="s">
        <v>40</v>
      </c>
      <c r="F167">
        <v>3918</v>
      </c>
      <c r="G167">
        <v>3257.77</v>
      </c>
      <c r="H167">
        <v>2</v>
      </c>
      <c r="I167">
        <v>0.15</v>
      </c>
      <c r="J167">
        <v>7836</v>
      </c>
      <c r="K167">
        <v>1175.3999999999999</v>
      </c>
      <c r="L167">
        <v>145.06000000000017</v>
      </c>
      <c r="M167">
        <v>1.8511995916283841</v>
      </c>
    </row>
    <row r="168" spans="1:13" x14ac:dyDescent="0.3">
      <c r="A168" t="s">
        <v>280</v>
      </c>
      <c r="B168" t="s">
        <v>281</v>
      </c>
      <c r="C168" t="s">
        <v>25</v>
      </c>
      <c r="D168" t="s">
        <v>16</v>
      </c>
      <c r="E168" t="s">
        <v>26</v>
      </c>
      <c r="F168">
        <v>4139</v>
      </c>
      <c r="G168">
        <v>2810.02</v>
      </c>
      <c r="H168">
        <v>10</v>
      </c>
      <c r="I168">
        <v>0.24</v>
      </c>
      <c r="J168">
        <v>41390</v>
      </c>
      <c r="K168">
        <v>9933.6</v>
      </c>
      <c r="L168">
        <v>3356.1999999999989</v>
      </c>
      <c r="M168">
        <v>8.1087219135056738</v>
      </c>
    </row>
    <row r="169" spans="1:13" x14ac:dyDescent="0.3">
      <c r="A169" t="s">
        <v>282</v>
      </c>
      <c r="B169" t="s">
        <v>33</v>
      </c>
      <c r="C169" t="s">
        <v>29</v>
      </c>
      <c r="D169" t="s">
        <v>16</v>
      </c>
      <c r="E169" t="s">
        <v>17</v>
      </c>
      <c r="F169">
        <v>4888</v>
      </c>
      <c r="G169">
        <v>3521.75</v>
      </c>
      <c r="H169">
        <v>3</v>
      </c>
      <c r="I169">
        <v>0.17</v>
      </c>
      <c r="J169">
        <v>14664</v>
      </c>
      <c r="K169">
        <v>2492.88</v>
      </c>
      <c r="L169">
        <v>1605.87</v>
      </c>
      <c r="M169">
        <v>10.951104746317512</v>
      </c>
    </row>
    <row r="170" spans="1:13" x14ac:dyDescent="0.3">
      <c r="A170" t="s">
        <v>283</v>
      </c>
      <c r="B170" t="s">
        <v>284</v>
      </c>
      <c r="C170" t="s">
        <v>20</v>
      </c>
      <c r="D170" t="s">
        <v>16</v>
      </c>
      <c r="E170" t="s">
        <v>40</v>
      </c>
      <c r="F170">
        <v>2479</v>
      </c>
      <c r="G170">
        <v>2104.21</v>
      </c>
      <c r="H170">
        <v>6</v>
      </c>
      <c r="I170">
        <v>0.05</v>
      </c>
      <c r="J170">
        <v>14874</v>
      </c>
      <c r="K170">
        <v>743.7</v>
      </c>
      <c r="L170">
        <v>1505.0399999999997</v>
      </c>
      <c r="M170">
        <v>10.118596208148444</v>
      </c>
    </row>
    <row r="171" spans="1:13" x14ac:dyDescent="0.3">
      <c r="A171" t="s">
        <v>291</v>
      </c>
      <c r="B171" t="s">
        <v>292</v>
      </c>
      <c r="C171" t="s">
        <v>20</v>
      </c>
      <c r="D171" t="s">
        <v>16</v>
      </c>
      <c r="E171" t="s">
        <v>85</v>
      </c>
      <c r="F171">
        <v>2072</v>
      </c>
      <c r="G171">
        <v>1291.3900000000001</v>
      </c>
      <c r="H171">
        <v>5</v>
      </c>
      <c r="I171">
        <v>0.03</v>
      </c>
      <c r="J171">
        <v>10360</v>
      </c>
      <c r="K171">
        <v>310.8</v>
      </c>
      <c r="L171">
        <v>3592.2499999999991</v>
      </c>
      <c r="M171">
        <v>34.674227799227793</v>
      </c>
    </row>
    <row r="172" spans="1:13" x14ac:dyDescent="0.3">
      <c r="A172" t="s">
        <v>306</v>
      </c>
      <c r="B172" t="s">
        <v>307</v>
      </c>
      <c r="C172" t="s">
        <v>29</v>
      </c>
      <c r="D172" t="s">
        <v>16</v>
      </c>
      <c r="E172" t="s">
        <v>40</v>
      </c>
      <c r="F172">
        <v>3089</v>
      </c>
      <c r="G172">
        <v>2156.67</v>
      </c>
      <c r="H172">
        <v>9</v>
      </c>
      <c r="I172">
        <v>0.09</v>
      </c>
      <c r="J172">
        <v>27801</v>
      </c>
      <c r="K172">
        <v>2502.0899999999997</v>
      </c>
      <c r="L172">
        <v>5888.880000000001</v>
      </c>
      <c r="M172">
        <v>21.182259630948529</v>
      </c>
    </row>
    <row r="173" spans="1:13" x14ac:dyDescent="0.3">
      <c r="A173" t="s">
        <v>314</v>
      </c>
      <c r="B173" t="s">
        <v>125</v>
      </c>
      <c r="C173" t="s">
        <v>15</v>
      </c>
      <c r="D173" t="s">
        <v>16</v>
      </c>
      <c r="E173" t="s">
        <v>26</v>
      </c>
      <c r="F173">
        <v>3327</v>
      </c>
      <c r="G173">
        <v>2087.84</v>
      </c>
      <c r="H173">
        <v>5</v>
      </c>
      <c r="I173">
        <v>0.08</v>
      </c>
      <c r="J173">
        <v>16635</v>
      </c>
      <c r="K173">
        <v>1330.8</v>
      </c>
      <c r="L173">
        <v>4864.9999999999991</v>
      </c>
      <c r="M173">
        <v>29.245566576495335</v>
      </c>
    </row>
    <row r="174" spans="1:13" x14ac:dyDescent="0.3">
      <c r="A174" t="s">
        <v>316</v>
      </c>
      <c r="B174" t="s">
        <v>122</v>
      </c>
      <c r="C174" t="s">
        <v>25</v>
      </c>
      <c r="D174" t="s">
        <v>16</v>
      </c>
      <c r="E174" t="s">
        <v>85</v>
      </c>
      <c r="F174">
        <v>4927</v>
      </c>
      <c r="G174">
        <v>2732.74</v>
      </c>
      <c r="H174">
        <v>5</v>
      </c>
      <c r="I174">
        <v>0.36</v>
      </c>
      <c r="J174">
        <v>24635</v>
      </c>
      <c r="K174">
        <v>8868.6</v>
      </c>
      <c r="L174">
        <v>2102.7000000000007</v>
      </c>
      <c r="M174">
        <v>8.5354170895068027</v>
      </c>
    </row>
    <row r="175" spans="1:13" x14ac:dyDescent="0.3">
      <c r="A175" t="s">
        <v>324</v>
      </c>
      <c r="B175" t="s">
        <v>325</v>
      </c>
      <c r="C175" t="s">
        <v>25</v>
      </c>
      <c r="D175" t="s">
        <v>16</v>
      </c>
      <c r="E175" t="s">
        <v>85</v>
      </c>
      <c r="F175">
        <v>2924</v>
      </c>
      <c r="G175">
        <v>2327.14</v>
      </c>
      <c r="H175">
        <v>8</v>
      </c>
      <c r="I175">
        <v>0.24</v>
      </c>
      <c r="J175">
        <v>23392</v>
      </c>
      <c r="K175">
        <v>5614.08</v>
      </c>
      <c r="L175">
        <v>-839.19999999999891</v>
      </c>
      <c r="M175">
        <v>-3.5875512995895988</v>
      </c>
    </row>
    <row r="176" spans="1:13" x14ac:dyDescent="0.3">
      <c r="A176" t="s">
        <v>326</v>
      </c>
      <c r="B176" t="s">
        <v>327</v>
      </c>
      <c r="C176" t="s">
        <v>29</v>
      </c>
      <c r="D176" t="s">
        <v>16</v>
      </c>
      <c r="E176" t="s">
        <v>17</v>
      </c>
      <c r="F176">
        <v>2308</v>
      </c>
      <c r="G176">
        <v>1433.23</v>
      </c>
      <c r="H176">
        <v>5</v>
      </c>
      <c r="I176">
        <v>0.2</v>
      </c>
      <c r="J176">
        <v>11540</v>
      </c>
      <c r="K176">
        <v>2308</v>
      </c>
      <c r="L176">
        <v>2065.8500000000004</v>
      </c>
      <c r="M176">
        <v>17.901646447140386</v>
      </c>
    </row>
    <row r="177" spans="1:13" x14ac:dyDescent="0.3">
      <c r="A177" t="s">
        <v>343</v>
      </c>
      <c r="B177" t="s">
        <v>145</v>
      </c>
      <c r="C177" t="s">
        <v>20</v>
      </c>
      <c r="D177" t="s">
        <v>16</v>
      </c>
      <c r="E177" t="s">
        <v>85</v>
      </c>
      <c r="F177">
        <v>5017</v>
      </c>
      <c r="G177">
        <v>3536</v>
      </c>
      <c r="H177">
        <v>1</v>
      </c>
      <c r="I177">
        <v>0.12</v>
      </c>
      <c r="J177">
        <v>5017</v>
      </c>
      <c r="K177">
        <v>602.04</v>
      </c>
      <c r="L177">
        <v>878.96</v>
      </c>
      <c r="M177">
        <v>17.519633246960336</v>
      </c>
    </row>
    <row r="178" spans="1:13" x14ac:dyDescent="0.3">
      <c r="A178" t="s">
        <v>344</v>
      </c>
      <c r="B178" t="s">
        <v>345</v>
      </c>
      <c r="C178" t="s">
        <v>15</v>
      </c>
      <c r="D178" t="s">
        <v>16</v>
      </c>
      <c r="E178" t="s">
        <v>17</v>
      </c>
      <c r="F178">
        <v>2653</v>
      </c>
      <c r="G178">
        <v>1894.63</v>
      </c>
      <c r="H178">
        <v>8</v>
      </c>
      <c r="I178">
        <v>0.04</v>
      </c>
      <c r="J178">
        <v>21224</v>
      </c>
      <c r="K178">
        <v>848.96</v>
      </c>
      <c r="L178">
        <v>5217.9999999999991</v>
      </c>
      <c r="M178">
        <v>24.585375047116468</v>
      </c>
    </row>
    <row r="179" spans="1:13" x14ac:dyDescent="0.3">
      <c r="A179" t="s">
        <v>351</v>
      </c>
      <c r="B179" t="s">
        <v>253</v>
      </c>
      <c r="C179" t="s">
        <v>25</v>
      </c>
      <c r="D179" t="s">
        <v>16</v>
      </c>
      <c r="E179" t="s">
        <v>85</v>
      </c>
      <c r="F179">
        <v>4331</v>
      </c>
      <c r="G179">
        <v>2503.61</v>
      </c>
      <c r="H179">
        <v>5</v>
      </c>
      <c r="I179">
        <v>0.28999999999999998</v>
      </c>
      <c r="J179">
        <v>21655</v>
      </c>
      <c r="K179">
        <v>6279.95</v>
      </c>
      <c r="L179">
        <v>2856.9999999999991</v>
      </c>
      <c r="M179">
        <v>13.193257908104361</v>
      </c>
    </row>
    <row r="180" spans="1:13" x14ac:dyDescent="0.3">
      <c r="A180" t="s">
        <v>352</v>
      </c>
      <c r="B180" t="s">
        <v>353</v>
      </c>
      <c r="C180" t="s">
        <v>29</v>
      </c>
      <c r="D180" t="s">
        <v>16</v>
      </c>
      <c r="E180" t="s">
        <v>40</v>
      </c>
      <c r="F180">
        <v>4199</v>
      </c>
      <c r="G180">
        <v>2652.11</v>
      </c>
      <c r="H180">
        <v>3</v>
      </c>
      <c r="I180">
        <v>0.04</v>
      </c>
      <c r="J180">
        <v>12597</v>
      </c>
      <c r="K180">
        <v>503.88</v>
      </c>
      <c r="L180">
        <v>4136.79</v>
      </c>
      <c r="M180">
        <v>32.839485591807573</v>
      </c>
    </row>
    <row r="181" spans="1:13" x14ac:dyDescent="0.3">
      <c r="A181" t="s">
        <v>360</v>
      </c>
      <c r="B181" t="s">
        <v>361</v>
      </c>
      <c r="C181" t="s">
        <v>25</v>
      </c>
      <c r="D181" t="s">
        <v>16</v>
      </c>
      <c r="E181" t="s">
        <v>17</v>
      </c>
      <c r="F181">
        <v>3050</v>
      </c>
      <c r="G181">
        <v>2265.9699999999998</v>
      </c>
      <c r="H181">
        <v>4</v>
      </c>
      <c r="I181">
        <v>0.32</v>
      </c>
      <c r="J181">
        <v>12200</v>
      </c>
      <c r="K181">
        <v>3904</v>
      </c>
      <c r="L181">
        <v>-767.8799999999992</v>
      </c>
      <c r="M181">
        <v>-6.294098360655731</v>
      </c>
    </row>
    <row r="182" spans="1:13" x14ac:dyDescent="0.3">
      <c r="A182" t="s">
        <v>365</v>
      </c>
      <c r="B182" t="s">
        <v>366</v>
      </c>
      <c r="C182" t="s">
        <v>29</v>
      </c>
      <c r="D182" t="s">
        <v>16</v>
      </c>
      <c r="E182" t="s">
        <v>40</v>
      </c>
      <c r="F182">
        <v>4119</v>
      </c>
      <c r="G182">
        <v>3181.53</v>
      </c>
      <c r="H182">
        <v>9</v>
      </c>
      <c r="I182">
        <v>0.19</v>
      </c>
      <c r="J182">
        <v>37071</v>
      </c>
      <c r="K182">
        <v>7043.49</v>
      </c>
      <c r="L182">
        <v>1393.7399999999998</v>
      </c>
      <c r="M182">
        <v>3.7596504005826654</v>
      </c>
    </row>
    <row r="183" spans="1:13" x14ac:dyDescent="0.3">
      <c r="A183" t="s">
        <v>367</v>
      </c>
      <c r="B183" t="s">
        <v>307</v>
      </c>
      <c r="C183" t="s">
        <v>15</v>
      </c>
      <c r="D183" t="s">
        <v>16</v>
      </c>
      <c r="E183" t="s">
        <v>26</v>
      </c>
      <c r="F183">
        <v>3349</v>
      </c>
      <c r="G183">
        <v>2694.42</v>
      </c>
      <c r="H183">
        <v>2</v>
      </c>
      <c r="I183">
        <v>0.24</v>
      </c>
      <c r="J183">
        <v>6698</v>
      </c>
      <c r="K183">
        <v>1607.52</v>
      </c>
      <c r="L183">
        <v>-298.36000000000013</v>
      </c>
      <c r="M183">
        <v>-4.4544640191101843</v>
      </c>
    </row>
    <row r="184" spans="1:13" x14ac:dyDescent="0.3">
      <c r="A184" t="s">
        <v>372</v>
      </c>
      <c r="B184" t="s">
        <v>373</v>
      </c>
      <c r="C184" t="s">
        <v>25</v>
      </c>
      <c r="D184" t="s">
        <v>16</v>
      </c>
      <c r="E184" t="s">
        <v>26</v>
      </c>
      <c r="F184">
        <v>2807</v>
      </c>
      <c r="G184">
        <v>2357.71</v>
      </c>
      <c r="H184">
        <v>9</v>
      </c>
      <c r="I184">
        <v>0.36</v>
      </c>
      <c r="J184">
        <v>25263</v>
      </c>
      <c r="K184">
        <v>9094.68</v>
      </c>
      <c r="L184">
        <v>-5051.07</v>
      </c>
      <c r="M184">
        <v>-19.993943712148198</v>
      </c>
    </row>
    <row r="185" spans="1:13" x14ac:dyDescent="0.3">
      <c r="A185" t="s">
        <v>378</v>
      </c>
      <c r="B185" t="s">
        <v>78</v>
      </c>
      <c r="C185" t="s">
        <v>15</v>
      </c>
      <c r="D185" t="s">
        <v>16</v>
      </c>
      <c r="E185" t="s">
        <v>85</v>
      </c>
      <c r="F185">
        <v>5416</v>
      </c>
      <c r="G185">
        <v>3185.29</v>
      </c>
      <c r="H185">
        <v>9</v>
      </c>
      <c r="I185">
        <v>0.19</v>
      </c>
      <c r="J185">
        <v>48744</v>
      </c>
      <c r="K185">
        <v>9261.36</v>
      </c>
      <c r="L185">
        <v>10815.029999999999</v>
      </c>
      <c r="M185">
        <v>22.187407680945345</v>
      </c>
    </row>
    <row r="186" spans="1:13" x14ac:dyDescent="0.3">
      <c r="A186" t="s">
        <v>379</v>
      </c>
      <c r="B186" t="s">
        <v>380</v>
      </c>
      <c r="C186" t="s">
        <v>20</v>
      </c>
      <c r="D186" t="s">
        <v>16</v>
      </c>
      <c r="E186" t="s">
        <v>17</v>
      </c>
      <c r="F186">
        <v>4416</v>
      </c>
      <c r="G186">
        <v>2516.09</v>
      </c>
      <c r="H186">
        <v>2</v>
      </c>
      <c r="I186">
        <v>0.03</v>
      </c>
      <c r="J186">
        <v>8832</v>
      </c>
      <c r="K186">
        <v>264.95999999999998</v>
      </c>
      <c r="L186">
        <v>3534.8599999999997</v>
      </c>
      <c r="M186">
        <v>40.023324275362313</v>
      </c>
    </row>
    <row r="187" spans="1:13" x14ac:dyDescent="0.3">
      <c r="A187" t="s">
        <v>381</v>
      </c>
      <c r="B187" t="s">
        <v>382</v>
      </c>
      <c r="C187" t="s">
        <v>15</v>
      </c>
      <c r="D187" t="s">
        <v>16</v>
      </c>
      <c r="E187" t="s">
        <v>40</v>
      </c>
      <c r="F187">
        <v>3997</v>
      </c>
      <c r="G187">
        <v>2888.44</v>
      </c>
      <c r="H187">
        <v>8</v>
      </c>
      <c r="I187">
        <v>0.02</v>
      </c>
      <c r="J187">
        <v>31976</v>
      </c>
      <c r="K187">
        <v>639.52</v>
      </c>
      <c r="L187">
        <v>8228.9599999999991</v>
      </c>
      <c r="M187">
        <v>25.734801100825617</v>
      </c>
    </row>
    <row r="188" spans="1:13" x14ac:dyDescent="0.3">
      <c r="A188" t="s">
        <v>386</v>
      </c>
      <c r="B188" t="s">
        <v>51</v>
      </c>
      <c r="C188" t="s">
        <v>29</v>
      </c>
      <c r="D188" t="s">
        <v>16</v>
      </c>
      <c r="E188" t="s">
        <v>26</v>
      </c>
      <c r="F188">
        <v>4789</v>
      </c>
      <c r="G188">
        <v>3403.63</v>
      </c>
      <c r="H188">
        <v>5</v>
      </c>
      <c r="I188">
        <v>0.24</v>
      </c>
      <c r="J188">
        <v>23945</v>
      </c>
      <c r="K188">
        <v>5746.8</v>
      </c>
      <c r="L188">
        <v>1180.0499999999984</v>
      </c>
      <c r="M188">
        <v>4.9281687199832884</v>
      </c>
    </row>
    <row r="189" spans="1:13" x14ac:dyDescent="0.3">
      <c r="A189" t="s">
        <v>393</v>
      </c>
      <c r="B189" t="s">
        <v>394</v>
      </c>
      <c r="C189" t="s">
        <v>20</v>
      </c>
      <c r="D189" t="s">
        <v>16</v>
      </c>
      <c r="E189" t="s">
        <v>26</v>
      </c>
      <c r="F189">
        <v>4290</v>
      </c>
      <c r="G189">
        <v>3403.82</v>
      </c>
      <c r="H189">
        <v>8</v>
      </c>
      <c r="I189">
        <v>0.22</v>
      </c>
      <c r="J189">
        <v>34320</v>
      </c>
      <c r="K189">
        <v>7550.4</v>
      </c>
      <c r="L189">
        <v>-460.96000000000095</v>
      </c>
      <c r="M189">
        <v>-1.3431235431235458</v>
      </c>
    </row>
    <row r="190" spans="1:13" x14ac:dyDescent="0.3">
      <c r="A190" t="s">
        <v>400</v>
      </c>
      <c r="B190" t="s">
        <v>190</v>
      </c>
      <c r="C190" t="s">
        <v>29</v>
      </c>
      <c r="D190" t="s">
        <v>16</v>
      </c>
      <c r="E190" t="s">
        <v>85</v>
      </c>
      <c r="F190">
        <v>2884</v>
      </c>
      <c r="G190">
        <v>1595.59</v>
      </c>
      <c r="H190">
        <v>4</v>
      </c>
      <c r="I190">
        <v>0.01</v>
      </c>
      <c r="J190">
        <v>11536</v>
      </c>
      <c r="K190">
        <v>115.36</v>
      </c>
      <c r="L190">
        <v>5038.2800000000007</v>
      </c>
      <c r="M190">
        <v>43.674410540915396</v>
      </c>
    </row>
    <row r="191" spans="1:13" x14ac:dyDescent="0.3">
      <c r="A191" t="s">
        <v>405</v>
      </c>
      <c r="B191" t="s">
        <v>406</v>
      </c>
      <c r="C191" t="s">
        <v>29</v>
      </c>
      <c r="D191" t="s">
        <v>16</v>
      </c>
      <c r="E191" t="s">
        <v>17</v>
      </c>
      <c r="F191">
        <v>4230</v>
      </c>
      <c r="G191">
        <v>3400.97</v>
      </c>
      <c r="H191">
        <v>4</v>
      </c>
      <c r="I191">
        <v>0.14000000000000001</v>
      </c>
      <c r="J191">
        <v>16920</v>
      </c>
      <c r="K191">
        <v>2368.8000000000002</v>
      </c>
      <c r="L191">
        <v>947.32000000000062</v>
      </c>
      <c r="M191">
        <v>5.5988179669030771</v>
      </c>
    </row>
    <row r="192" spans="1:13" x14ac:dyDescent="0.3">
      <c r="A192" t="s">
        <v>411</v>
      </c>
      <c r="B192" t="s">
        <v>64</v>
      </c>
      <c r="C192" t="s">
        <v>25</v>
      </c>
      <c r="D192" t="s">
        <v>16</v>
      </c>
      <c r="E192" t="s">
        <v>40</v>
      </c>
      <c r="F192">
        <v>3042</v>
      </c>
      <c r="G192">
        <v>2454.62</v>
      </c>
      <c r="H192">
        <v>8</v>
      </c>
      <c r="I192">
        <v>0.3</v>
      </c>
      <c r="J192">
        <v>24336</v>
      </c>
      <c r="K192">
        <v>7300.8</v>
      </c>
      <c r="L192">
        <v>-2601.7599999999993</v>
      </c>
      <c r="M192">
        <v>-10.690992767915843</v>
      </c>
    </row>
    <row r="193" spans="1:13" x14ac:dyDescent="0.3">
      <c r="A193" t="s">
        <v>426</v>
      </c>
      <c r="B193" t="s">
        <v>380</v>
      </c>
      <c r="C193" t="s">
        <v>20</v>
      </c>
      <c r="D193" t="s">
        <v>16</v>
      </c>
      <c r="E193" t="s">
        <v>85</v>
      </c>
      <c r="F193">
        <v>4844</v>
      </c>
      <c r="G193">
        <v>3981.67</v>
      </c>
      <c r="H193">
        <v>1</v>
      </c>
      <c r="I193">
        <v>0.23</v>
      </c>
      <c r="J193">
        <v>4844</v>
      </c>
      <c r="K193">
        <v>1114.1200000000001</v>
      </c>
      <c r="L193">
        <v>-251.79000000000019</v>
      </c>
      <c r="M193">
        <v>-5.197976878612721</v>
      </c>
    </row>
    <row r="194" spans="1:13" x14ac:dyDescent="0.3">
      <c r="A194" t="s">
        <v>428</v>
      </c>
      <c r="B194" t="s">
        <v>429</v>
      </c>
      <c r="C194" t="s">
        <v>29</v>
      </c>
      <c r="D194" t="s">
        <v>16</v>
      </c>
      <c r="E194" t="s">
        <v>85</v>
      </c>
      <c r="F194">
        <v>3304</v>
      </c>
      <c r="G194">
        <v>2611.87</v>
      </c>
      <c r="H194">
        <v>7</v>
      </c>
      <c r="I194">
        <v>0.16</v>
      </c>
      <c r="J194">
        <v>23128</v>
      </c>
      <c r="K194">
        <v>3700.48</v>
      </c>
      <c r="L194">
        <v>1144.4299999999998</v>
      </c>
      <c r="M194">
        <v>4.9482445520581102</v>
      </c>
    </row>
    <row r="195" spans="1:13" x14ac:dyDescent="0.3">
      <c r="A195" t="s">
        <v>430</v>
      </c>
      <c r="B195" t="s">
        <v>431</v>
      </c>
      <c r="C195" t="s">
        <v>20</v>
      </c>
      <c r="D195" t="s">
        <v>16</v>
      </c>
      <c r="E195" t="s">
        <v>26</v>
      </c>
      <c r="F195">
        <v>4742</v>
      </c>
      <c r="G195">
        <v>3874.02</v>
      </c>
      <c r="H195">
        <v>8</v>
      </c>
      <c r="I195">
        <v>0.05</v>
      </c>
      <c r="J195">
        <v>37936</v>
      </c>
      <c r="K195">
        <v>1896.8000000000002</v>
      </c>
      <c r="L195">
        <v>5047.04</v>
      </c>
      <c r="M195">
        <v>13.304091100801349</v>
      </c>
    </row>
    <row r="196" spans="1:13" x14ac:dyDescent="0.3">
      <c r="A196" t="s">
        <v>437</v>
      </c>
      <c r="B196" t="s">
        <v>159</v>
      </c>
      <c r="C196" t="s">
        <v>15</v>
      </c>
      <c r="D196" t="s">
        <v>16</v>
      </c>
      <c r="E196" t="s">
        <v>17</v>
      </c>
      <c r="F196">
        <v>3571</v>
      </c>
      <c r="G196">
        <v>2344.52</v>
      </c>
      <c r="H196">
        <v>4</v>
      </c>
      <c r="I196">
        <v>0.22</v>
      </c>
      <c r="J196">
        <v>14284</v>
      </c>
      <c r="K196">
        <v>3142.48</v>
      </c>
      <c r="L196">
        <v>1763.44</v>
      </c>
      <c r="M196">
        <v>12.345561467376086</v>
      </c>
    </row>
    <row r="197" spans="1:13" x14ac:dyDescent="0.3">
      <c r="A197" t="s">
        <v>438</v>
      </c>
      <c r="B197" t="s">
        <v>284</v>
      </c>
      <c r="C197" t="s">
        <v>20</v>
      </c>
      <c r="D197" t="s">
        <v>16</v>
      </c>
      <c r="E197" t="s">
        <v>26</v>
      </c>
      <c r="F197">
        <v>3525</v>
      </c>
      <c r="G197">
        <v>2847.09</v>
      </c>
      <c r="H197">
        <v>1</v>
      </c>
      <c r="I197">
        <v>0.08</v>
      </c>
      <c r="J197">
        <v>3525</v>
      </c>
      <c r="K197">
        <v>282</v>
      </c>
      <c r="L197">
        <v>395.90999999999985</v>
      </c>
      <c r="M197">
        <v>11.231489361702124</v>
      </c>
    </row>
    <row r="198" spans="1:13" x14ac:dyDescent="0.3">
      <c r="A198" t="s">
        <v>439</v>
      </c>
      <c r="B198" t="s">
        <v>440</v>
      </c>
      <c r="C198" t="s">
        <v>15</v>
      </c>
      <c r="D198" t="s">
        <v>16</v>
      </c>
      <c r="E198" t="s">
        <v>17</v>
      </c>
      <c r="F198">
        <v>3904</v>
      </c>
      <c r="G198">
        <v>3188.6</v>
      </c>
      <c r="H198">
        <v>6</v>
      </c>
      <c r="I198">
        <v>7.0000000000000007E-2</v>
      </c>
      <c r="J198">
        <v>23424</v>
      </c>
      <c r="K198">
        <v>1639.68</v>
      </c>
      <c r="L198">
        <v>2652.7200000000012</v>
      </c>
      <c r="M198">
        <v>11.324795081967217</v>
      </c>
    </row>
    <row r="199" spans="1:13" x14ac:dyDescent="0.3">
      <c r="A199" t="s">
        <v>443</v>
      </c>
      <c r="B199" t="s">
        <v>444</v>
      </c>
      <c r="C199" t="s">
        <v>25</v>
      </c>
      <c r="D199" t="s">
        <v>16</v>
      </c>
      <c r="E199" t="s">
        <v>26</v>
      </c>
      <c r="F199">
        <v>3098</v>
      </c>
      <c r="G199">
        <v>2172.13</v>
      </c>
      <c r="H199">
        <v>9</v>
      </c>
      <c r="I199">
        <v>0.24</v>
      </c>
      <c r="J199">
        <v>27882</v>
      </c>
      <c r="K199">
        <v>6691.6799999999994</v>
      </c>
      <c r="L199">
        <v>1641.1499999999987</v>
      </c>
      <c r="M199">
        <v>5.8860555196901174</v>
      </c>
    </row>
    <row r="200" spans="1:13" x14ac:dyDescent="0.3">
      <c r="A200" t="s">
        <v>450</v>
      </c>
      <c r="B200" t="s">
        <v>451</v>
      </c>
      <c r="C200" t="s">
        <v>29</v>
      </c>
      <c r="D200" t="s">
        <v>16</v>
      </c>
      <c r="E200" t="s">
        <v>26</v>
      </c>
      <c r="F200">
        <v>3884</v>
      </c>
      <c r="G200">
        <v>2991.94</v>
      </c>
      <c r="H200">
        <v>2</v>
      </c>
      <c r="I200">
        <v>0.19</v>
      </c>
      <c r="J200">
        <v>7768</v>
      </c>
      <c r="K200">
        <v>1475.92</v>
      </c>
      <c r="L200">
        <v>308.19999999999982</v>
      </c>
      <c r="M200">
        <v>3.9675592173017487</v>
      </c>
    </row>
    <row r="201" spans="1:13" x14ac:dyDescent="0.3">
      <c r="A201" t="s">
        <v>452</v>
      </c>
      <c r="B201" t="s">
        <v>264</v>
      </c>
      <c r="C201" t="s">
        <v>20</v>
      </c>
      <c r="D201" t="s">
        <v>16</v>
      </c>
      <c r="E201" t="s">
        <v>17</v>
      </c>
      <c r="F201">
        <v>5335</v>
      </c>
      <c r="G201">
        <v>3122.99</v>
      </c>
      <c r="H201">
        <v>5</v>
      </c>
      <c r="I201">
        <v>0.05</v>
      </c>
      <c r="J201">
        <v>26675</v>
      </c>
      <c r="K201">
        <v>1333.75</v>
      </c>
      <c r="L201">
        <v>9726.3000000000011</v>
      </c>
      <c r="M201">
        <v>36.462230552952207</v>
      </c>
    </row>
    <row r="202" spans="1:13" x14ac:dyDescent="0.3">
      <c r="A202" t="s">
        <v>459</v>
      </c>
      <c r="B202" t="s">
        <v>460</v>
      </c>
      <c r="C202" t="s">
        <v>25</v>
      </c>
      <c r="D202" t="s">
        <v>16</v>
      </c>
      <c r="E202" t="s">
        <v>17</v>
      </c>
      <c r="F202">
        <v>5791</v>
      </c>
      <c r="G202">
        <v>3554.38</v>
      </c>
      <c r="H202">
        <v>8</v>
      </c>
      <c r="I202">
        <v>0.31</v>
      </c>
      <c r="J202">
        <v>46328</v>
      </c>
      <c r="K202">
        <v>14361.68</v>
      </c>
      <c r="L202">
        <v>3531.2799999999988</v>
      </c>
      <c r="M202">
        <v>7.6223450181315808</v>
      </c>
    </row>
    <row r="203" spans="1:13" x14ac:dyDescent="0.3">
      <c r="A203" t="s">
        <v>467</v>
      </c>
      <c r="B203" t="s">
        <v>468</v>
      </c>
      <c r="C203" t="s">
        <v>25</v>
      </c>
      <c r="D203" t="s">
        <v>16</v>
      </c>
      <c r="E203" t="s">
        <v>17</v>
      </c>
      <c r="F203">
        <v>5888</v>
      </c>
      <c r="G203">
        <v>3487.93</v>
      </c>
      <c r="H203">
        <v>8</v>
      </c>
      <c r="I203">
        <v>0.38</v>
      </c>
      <c r="J203">
        <v>47104</v>
      </c>
      <c r="K203">
        <v>17899.52</v>
      </c>
      <c r="L203">
        <v>1301.0400000000009</v>
      </c>
      <c r="M203">
        <v>2.7620584239130452</v>
      </c>
    </row>
    <row r="204" spans="1:13" x14ac:dyDescent="0.3">
      <c r="A204" t="s">
        <v>470</v>
      </c>
      <c r="B204" t="s">
        <v>471</v>
      </c>
      <c r="C204" t="s">
        <v>20</v>
      </c>
      <c r="D204" t="s">
        <v>16</v>
      </c>
      <c r="E204" t="s">
        <v>40</v>
      </c>
      <c r="F204">
        <v>2313</v>
      </c>
      <c r="G204">
        <v>1671.24</v>
      </c>
      <c r="H204">
        <v>3</v>
      </c>
      <c r="I204">
        <v>0.09</v>
      </c>
      <c r="J204">
        <v>6939</v>
      </c>
      <c r="K204">
        <v>624.51</v>
      </c>
      <c r="L204">
        <v>1300.7699999999998</v>
      </c>
      <c r="M204">
        <v>18.745784695201035</v>
      </c>
    </row>
    <row r="205" spans="1:13" x14ac:dyDescent="0.3">
      <c r="A205" t="s">
        <v>486</v>
      </c>
      <c r="B205" t="s">
        <v>131</v>
      </c>
      <c r="C205" t="s">
        <v>25</v>
      </c>
      <c r="D205" t="s">
        <v>16</v>
      </c>
      <c r="E205" t="s">
        <v>40</v>
      </c>
      <c r="F205">
        <v>2999</v>
      </c>
      <c r="G205">
        <v>1885.2</v>
      </c>
      <c r="H205">
        <v>7</v>
      </c>
      <c r="I205">
        <v>0.37</v>
      </c>
      <c r="J205">
        <v>20993</v>
      </c>
      <c r="K205">
        <v>7767.41</v>
      </c>
      <c r="L205">
        <v>29.190000000000509</v>
      </c>
      <c r="M205">
        <v>0.13904634878293007</v>
      </c>
    </row>
    <row r="206" spans="1:13" x14ac:dyDescent="0.3">
      <c r="A206" t="s">
        <v>490</v>
      </c>
      <c r="B206" t="s">
        <v>491</v>
      </c>
      <c r="C206" t="s">
        <v>20</v>
      </c>
      <c r="D206" t="s">
        <v>16</v>
      </c>
      <c r="E206" t="s">
        <v>40</v>
      </c>
      <c r="F206">
        <v>3548</v>
      </c>
      <c r="G206">
        <v>2482.19</v>
      </c>
      <c r="H206">
        <v>10</v>
      </c>
      <c r="I206">
        <v>0.23</v>
      </c>
      <c r="J206">
        <v>35480</v>
      </c>
      <c r="K206">
        <v>8160.4000000000005</v>
      </c>
      <c r="L206">
        <v>2497.699999999998</v>
      </c>
      <c r="M206">
        <v>7.0397406989853373</v>
      </c>
    </row>
    <row r="207" spans="1:13" x14ac:dyDescent="0.3">
      <c r="A207" t="s">
        <v>496</v>
      </c>
      <c r="B207" t="s">
        <v>213</v>
      </c>
      <c r="C207" t="s">
        <v>25</v>
      </c>
      <c r="D207" t="s">
        <v>16</v>
      </c>
      <c r="E207" t="s">
        <v>26</v>
      </c>
      <c r="F207">
        <v>5030</v>
      </c>
      <c r="G207">
        <v>3875.44</v>
      </c>
      <c r="H207">
        <v>7</v>
      </c>
      <c r="I207">
        <v>0.37</v>
      </c>
      <c r="J207">
        <v>35210</v>
      </c>
      <c r="K207">
        <v>13027.7</v>
      </c>
      <c r="L207">
        <v>-4945.7800000000025</v>
      </c>
      <c r="M207">
        <v>-14.046520874751497</v>
      </c>
    </row>
    <row r="208" spans="1:13" x14ac:dyDescent="0.3">
      <c r="A208" t="s">
        <v>497</v>
      </c>
      <c r="B208" t="s">
        <v>498</v>
      </c>
      <c r="C208" t="s">
        <v>25</v>
      </c>
      <c r="D208" t="s">
        <v>16</v>
      </c>
      <c r="E208" t="s">
        <v>85</v>
      </c>
      <c r="F208">
        <v>5467</v>
      </c>
      <c r="G208">
        <v>3964.03</v>
      </c>
      <c r="H208">
        <v>10</v>
      </c>
      <c r="I208">
        <v>0.22</v>
      </c>
      <c r="J208">
        <v>54670</v>
      </c>
      <c r="K208">
        <v>12027.4</v>
      </c>
      <c r="L208">
        <v>3002.2999999999975</v>
      </c>
      <c r="M208">
        <v>5.4916773367477543</v>
      </c>
    </row>
    <row r="209" spans="1:13" x14ac:dyDescent="0.3">
      <c r="A209" t="s">
        <v>502</v>
      </c>
      <c r="B209" t="s">
        <v>503</v>
      </c>
      <c r="C209" t="s">
        <v>20</v>
      </c>
      <c r="D209" t="s">
        <v>16</v>
      </c>
      <c r="E209" t="s">
        <v>17</v>
      </c>
      <c r="F209">
        <v>5336</v>
      </c>
      <c r="G209">
        <v>3982.37</v>
      </c>
      <c r="H209">
        <v>6</v>
      </c>
      <c r="I209">
        <v>0.17</v>
      </c>
      <c r="J209">
        <v>32016</v>
      </c>
      <c r="K209">
        <v>5442.72</v>
      </c>
      <c r="L209">
        <v>2679.0599999999986</v>
      </c>
      <c r="M209">
        <v>8.3678785607196353</v>
      </c>
    </row>
    <row r="210" spans="1:13" x14ac:dyDescent="0.3">
      <c r="A210" t="s">
        <v>504</v>
      </c>
      <c r="B210" t="s">
        <v>505</v>
      </c>
      <c r="C210" t="s">
        <v>29</v>
      </c>
      <c r="D210" t="s">
        <v>16</v>
      </c>
      <c r="E210" t="s">
        <v>40</v>
      </c>
      <c r="F210">
        <v>3074</v>
      </c>
      <c r="G210">
        <v>2327.52</v>
      </c>
      <c r="H210">
        <v>7</v>
      </c>
      <c r="I210">
        <v>0.21</v>
      </c>
      <c r="J210">
        <v>21518</v>
      </c>
      <c r="K210">
        <v>4518.78</v>
      </c>
      <c r="L210">
        <v>706.58000000000084</v>
      </c>
      <c r="M210">
        <v>3.283669486011715</v>
      </c>
    </row>
    <row r="211" spans="1:13" x14ac:dyDescent="0.3">
      <c r="A211" t="s">
        <v>506</v>
      </c>
      <c r="B211" t="s">
        <v>507</v>
      </c>
      <c r="C211" t="s">
        <v>15</v>
      </c>
      <c r="D211" t="s">
        <v>16</v>
      </c>
      <c r="E211" t="s">
        <v>85</v>
      </c>
      <c r="F211">
        <v>5053</v>
      </c>
      <c r="G211">
        <v>2893.61</v>
      </c>
      <c r="H211">
        <v>4</v>
      </c>
      <c r="I211">
        <v>0.05</v>
      </c>
      <c r="J211">
        <v>20212</v>
      </c>
      <c r="K211">
        <v>1010.6</v>
      </c>
      <c r="L211">
        <v>7626.9599999999991</v>
      </c>
      <c r="M211">
        <v>37.734811003364335</v>
      </c>
    </row>
    <row r="212" spans="1:13" x14ac:dyDescent="0.3">
      <c r="A212" t="s">
        <v>515</v>
      </c>
      <c r="B212" t="s">
        <v>313</v>
      </c>
      <c r="C212" t="s">
        <v>20</v>
      </c>
      <c r="D212" t="s">
        <v>16</v>
      </c>
      <c r="E212" t="s">
        <v>17</v>
      </c>
      <c r="F212">
        <v>5884</v>
      </c>
      <c r="G212">
        <v>3896.45</v>
      </c>
      <c r="H212">
        <v>5</v>
      </c>
      <c r="I212">
        <v>0.01</v>
      </c>
      <c r="J212">
        <v>29420</v>
      </c>
      <c r="K212">
        <v>294.2</v>
      </c>
      <c r="L212">
        <v>9643.5499999999993</v>
      </c>
      <c r="M212">
        <v>32.778891910265123</v>
      </c>
    </row>
    <row r="213" spans="1:13" x14ac:dyDescent="0.3">
      <c r="A213" t="s">
        <v>517</v>
      </c>
      <c r="B213" t="s">
        <v>190</v>
      </c>
      <c r="C213" t="s">
        <v>20</v>
      </c>
      <c r="D213" t="s">
        <v>16</v>
      </c>
      <c r="E213" t="s">
        <v>40</v>
      </c>
      <c r="F213">
        <v>2778</v>
      </c>
      <c r="G213">
        <v>2236.41</v>
      </c>
      <c r="H213">
        <v>6</v>
      </c>
      <c r="I213">
        <v>0.02</v>
      </c>
      <c r="J213">
        <v>16668</v>
      </c>
      <c r="K213">
        <v>333.36</v>
      </c>
      <c r="L213">
        <v>2916.1800000000007</v>
      </c>
      <c r="M213">
        <v>17.49568034557236</v>
      </c>
    </row>
    <row r="214" spans="1:13" x14ac:dyDescent="0.3">
      <c r="A214" t="s">
        <v>518</v>
      </c>
      <c r="B214" t="s">
        <v>305</v>
      </c>
      <c r="C214" t="s">
        <v>20</v>
      </c>
      <c r="D214" t="s">
        <v>16</v>
      </c>
      <c r="E214" t="s">
        <v>40</v>
      </c>
      <c r="F214">
        <v>2001</v>
      </c>
      <c r="G214">
        <v>1306.21</v>
      </c>
      <c r="H214">
        <v>7</v>
      </c>
      <c r="I214">
        <v>0.23</v>
      </c>
      <c r="J214">
        <v>14007</v>
      </c>
      <c r="K214">
        <v>3221.61</v>
      </c>
      <c r="L214">
        <v>1641.9199999999987</v>
      </c>
      <c r="M214">
        <v>11.722138930534722</v>
      </c>
    </row>
    <row r="215" spans="1:13" x14ac:dyDescent="0.3">
      <c r="A215" t="s">
        <v>520</v>
      </c>
      <c r="B215" t="s">
        <v>521</v>
      </c>
      <c r="C215" t="s">
        <v>20</v>
      </c>
      <c r="D215" t="s">
        <v>16</v>
      </c>
      <c r="E215" t="s">
        <v>26</v>
      </c>
      <c r="F215">
        <v>4285</v>
      </c>
      <c r="G215">
        <v>2436.17</v>
      </c>
      <c r="H215">
        <v>10</v>
      </c>
      <c r="I215">
        <v>0.05</v>
      </c>
      <c r="J215">
        <v>42850</v>
      </c>
      <c r="K215">
        <v>2142.5</v>
      </c>
      <c r="L215">
        <v>16345.8</v>
      </c>
      <c r="M215">
        <v>38.146557759626603</v>
      </c>
    </row>
    <row r="216" spans="1:13" x14ac:dyDescent="0.3">
      <c r="A216" t="s">
        <v>522</v>
      </c>
      <c r="B216" t="s">
        <v>361</v>
      </c>
      <c r="C216" t="s">
        <v>25</v>
      </c>
      <c r="D216" t="s">
        <v>16</v>
      </c>
      <c r="E216" t="s">
        <v>17</v>
      </c>
      <c r="F216">
        <v>2881</v>
      </c>
      <c r="G216">
        <v>2067.15</v>
      </c>
      <c r="H216">
        <v>2</v>
      </c>
      <c r="I216">
        <v>0.38</v>
      </c>
      <c r="J216">
        <v>5762</v>
      </c>
      <c r="K216">
        <v>2189.56</v>
      </c>
      <c r="L216">
        <v>-561.86000000000013</v>
      </c>
      <c r="M216">
        <v>-9.7511280805275966</v>
      </c>
    </row>
    <row r="217" spans="1:13" x14ac:dyDescent="0.3">
      <c r="A217" t="s">
        <v>526</v>
      </c>
      <c r="B217" t="s">
        <v>279</v>
      </c>
      <c r="C217" t="s">
        <v>25</v>
      </c>
      <c r="D217" t="s">
        <v>16</v>
      </c>
      <c r="E217" t="s">
        <v>17</v>
      </c>
      <c r="F217">
        <v>4649</v>
      </c>
      <c r="G217">
        <v>2933.39</v>
      </c>
      <c r="H217">
        <v>5</v>
      </c>
      <c r="I217">
        <v>0.27</v>
      </c>
      <c r="J217">
        <v>23245</v>
      </c>
      <c r="K217">
        <v>6276.1500000000005</v>
      </c>
      <c r="L217">
        <v>2301.9000000000005</v>
      </c>
      <c r="M217">
        <v>9.9027747902774816</v>
      </c>
    </row>
    <row r="218" spans="1:13" x14ac:dyDescent="0.3">
      <c r="A218" t="s">
        <v>533</v>
      </c>
      <c r="B218" t="s">
        <v>534</v>
      </c>
      <c r="C218" t="s">
        <v>25</v>
      </c>
      <c r="D218" t="s">
        <v>16</v>
      </c>
      <c r="E218" t="s">
        <v>26</v>
      </c>
      <c r="F218">
        <v>4709</v>
      </c>
      <c r="G218">
        <v>3742.18</v>
      </c>
      <c r="H218">
        <v>1</v>
      </c>
      <c r="I218">
        <v>0.28000000000000003</v>
      </c>
      <c r="J218">
        <v>4709</v>
      </c>
      <c r="K218">
        <v>1318.5200000000002</v>
      </c>
      <c r="L218">
        <v>-351.70000000000005</v>
      </c>
      <c r="M218">
        <v>-7.4686770014865163</v>
      </c>
    </row>
    <row r="219" spans="1:13" x14ac:dyDescent="0.3">
      <c r="A219" t="s">
        <v>535</v>
      </c>
      <c r="B219" t="s">
        <v>24</v>
      </c>
      <c r="C219" t="s">
        <v>15</v>
      </c>
      <c r="D219" t="s">
        <v>16</v>
      </c>
      <c r="E219" t="s">
        <v>17</v>
      </c>
      <c r="F219">
        <v>2053</v>
      </c>
      <c r="G219">
        <v>1406.45</v>
      </c>
      <c r="H219">
        <v>3</v>
      </c>
      <c r="I219">
        <v>0.22</v>
      </c>
      <c r="J219">
        <v>6159</v>
      </c>
      <c r="K219">
        <v>1354.98</v>
      </c>
      <c r="L219">
        <v>584.66999999999962</v>
      </c>
      <c r="M219">
        <v>9.4929371651242018</v>
      </c>
    </row>
    <row r="220" spans="1:13" x14ac:dyDescent="0.3">
      <c r="A220" t="s">
        <v>539</v>
      </c>
      <c r="B220" t="s">
        <v>540</v>
      </c>
      <c r="C220" t="s">
        <v>29</v>
      </c>
      <c r="D220" t="s">
        <v>16</v>
      </c>
      <c r="E220" t="s">
        <v>40</v>
      </c>
      <c r="F220">
        <v>5470</v>
      </c>
      <c r="G220">
        <v>4068.62</v>
      </c>
      <c r="H220">
        <v>1</v>
      </c>
      <c r="I220">
        <v>0.12</v>
      </c>
      <c r="J220">
        <v>5470</v>
      </c>
      <c r="K220">
        <v>656.4</v>
      </c>
      <c r="L220">
        <v>744.98000000000013</v>
      </c>
      <c r="M220">
        <v>13.619378427787938</v>
      </c>
    </row>
    <row r="221" spans="1:13" x14ac:dyDescent="0.3">
      <c r="A221" t="s">
        <v>550</v>
      </c>
      <c r="B221" t="s">
        <v>266</v>
      </c>
      <c r="C221" t="s">
        <v>20</v>
      </c>
      <c r="D221" t="s">
        <v>16</v>
      </c>
      <c r="E221" t="s">
        <v>85</v>
      </c>
      <c r="F221">
        <v>3129</v>
      </c>
      <c r="G221">
        <v>1914.91</v>
      </c>
      <c r="H221">
        <v>1</v>
      </c>
      <c r="I221">
        <v>0.1</v>
      </c>
      <c r="J221">
        <v>3129</v>
      </c>
      <c r="K221">
        <v>312.90000000000003</v>
      </c>
      <c r="L221">
        <v>901.18999999999983</v>
      </c>
      <c r="M221">
        <v>28.801214445509743</v>
      </c>
    </row>
    <row r="222" spans="1:13" x14ac:dyDescent="0.3">
      <c r="A222" t="s">
        <v>553</v>
      </c>
      <c r="B222" t="s">
        <v>402</v>
      </c>
      <c r="C222" t="s">
        <v>20</v>
      </c>
      <c r="D222" t="s">
        <v>16</v>
      </c>
      <c r="E222" t="s">
        <v>17</v>
      </c>
      <c r="F222">
        <v>5282</v>
      </c>
      <c r="G222">
        <v>3587.85</v>
      </c>
      <c r="H222">
        <v>7</v>
      </c>
      <c r="I222">
        <v>0.06</v>
      </c>
      <c r="J222">
        <v>36974</v>
      </c>
      <c r="K222">
        <v>2218.44</v>
      </c>
      <c r="L222">
        <v>9640.6099999999988</v>
      </c>
      <c r="M222">
        <v>26.074024990533886</v>
      </c>
    </row>
    <row r="223" spans="1:13" x14ac:dyDescent="0.3">
      <c r="A223" t="s">
        <v>556</v>
      </c>
      <c r="B223" t="s">
        <v>557</v>
      </c>
      <c r="C223" t="s">
        <v>25</v>
      </c>
      <c r="D223" t="s">
        <v>16</v>
      </c>
      <c r="E223" t="s">
        <v>85</v>
      </c>
      <c r="F223">
        <v>4056</v>
      </c>
      <c r="G223">
        <v>2252.65</v>
      </c>
      <c r="H223">
        <v>7</v>
      </c>
      <c r="I223">
        <v>0.28999999999999998</v>
      </c>
      <c r="J223">
        <v>28392</v>
      </c>
      <c r="K223">
        <v>8233.68</v>
      </c>
      <c r="L223">
        <v>4389.7699999999986</v>
      </c>
      <c r="M223">
        <v>15.461291913214986</v>
      </c>
    </row>
    <row r="224" spans="1:13" x14ac:dyDescent="0.3">
      <c r="A224" t="s">
        <v>558</v>
      </c>
      <c r="B224" t="s">
        <v>460</v>
      </c>
      <c r="C224" t="s">
        <v>15</v>
      </c>
      <c r="D224" t="s">
        <v>16</v>
      </c>
      <c r="E224" t="s">
        <v>17</v>
      </c>
      <c r="F224">
        <v>5353</v>
      </c>
      <c r="G224">
        <v>3085.76</v>
      </c>
      <c r="H224">
        <v>6</v>
      </c>
      <c r="I224">
        <v>0.06</v>
      </c>
      <c r="J224">
        <v>32118</v>
      </c>
      <c r="K224">
        <v>1927.08</v>
      </c>
      <c r="L224">
        <v>11676.359999999999</v>
      </c>
      <c r="M224">
        <v>36.35456753222492</v>
      </c>
    </row>
    <row r="225" spans="1:13" x14ac:dyDescent="0.3">
      <c r="A225" t="s">
        <v>560</v>
      </c>
      <c r="B225" t="s">
        <v>297</v>
      </c>
      <c r="C225" t="s">
        <v>29</v>
      </c>
      <c r="D225" t="s">
        <v>16</v>
      </c>
      <c r="E225" t="s">
        <v>26</v>
      </c>
      <c r="F225">
        <v>3631</v>
      </c>
      <c r="G225">
        <v>2525.35</v>
      </c>
      <c r="H225">
        <v>2</v>
      </c>
      <c r="I225">
        <v>0.17</v>
      </c>
      <c r="J225">
        <v>7262</v>
      </c>
      <c r="K225">
        <v>1234.5400000000002</v>
      </c>
      <c r="L225">
        <v>976.76</v>
      </c>
      <c r="M225">
        <v>13.45028917653539</v>
      </c>
    </row>
    <row r="226" spans="1:13" x14ac:dyDescent="0.3">
      <c r="A226" t="s">
        <v>562</v>
      </c>
      <c r="B226" t="s">
        <v>83</v>
      </c>
      <c r="C226" t="s">
        <v>29</v>
      </c>
      <c r="D226" t="s">
        <v>16</v>
      </c>
      <c r="E226" t="s">
        <v>40</v>
      </c>
      <c r="F226">
        <v>4717</v>
      </c>
      <c r="G226">
        <v>2880.3</v>
      </c>
      <c r="H226">
        <v>3</v>
      </c>
      <c r="I226">
        <v>0.14000000000000001</v>
      </c>
      <c r="J226">
        <v>14151</v>
      </c>
      <c r="K226">
        <v>1981.14</v>
      </c>
      <c r="L226">
        <v>3528.9599999999982</v>
      </c>
      <c r="M226">
        <v>24.937884248462993</v>
      </c>
    </row>
    <row r="227" spans="1:13" x14ac:dyDescent="0.3">
      <c r="A227" t="s">
        <v>565</v>
      </c>
      <c r="B227" t="s">
        <v>468</v>
      </c>
      <c r="C227" t="s">
        <v>25</v>
      </c>
      <c r="D227" t="s">
        <v>16</v>
      </c>
      <c r="E227" t="s">
        <v>85</v>
      </c>
      <c r="F227">
        <v>4756</v>
      </c>
      <c r="G227">
        <v>3663.2</v>
      </c>
      <c r="H227">
        <v>3</v>
      </c>
      <c r="I227">
        <v>0.25</v>
      </c>
      <c r="J227">
        <v>14268</v>
      </c>
      <c r="K227">
        <v>3567</v>
      </c>
      <c r="L227">
        <v>-288.59999999999854</v>
      </c>
      <c r="M227">
        <v>-2.0227081581160538</v>
      </c>
    </row>
    <row r="228" spans="1:13" x14ac:dyDescent="0.3">
      <c r="A228" t="s">
        <v>566</v>
      </c>
      <c r="B228" t="s">
        <v>414</v>
      </c>
      <c r="C228" t="s">
        <v>29</v>
      </c>
      <c r="D228" t="s">
        <v>16</v>
      </c>
      <c r="E228" t="s">
        <v>17</v>
      </c>
      <c r="F228">
        <v>4775</v>
      </c>
      <c r="G228">
        <v>3569.76</v>
      </c>
      <c r="H228">
        <v>10</v>
      </c>
      <c r="I228">
        <v>0.12</v>
      </c>
      <c r="J228">
        <v>47750</v>
      </c>
      <c r="K228">
        <v>5730</v>
      </c>
      <c r="L228">
        <v>6322.3999999999942</v>
      </c>
      <c r="M228">
        <v>13.240628272251298</v>
      </c>
    </row>
    <row r="229" spans="1:13" x14ac:dyDescent="0.3">
      <c r="A229" t="s">
        <v>570</v>
      </c>
      <c r="B229" t="s">
        <v>571</v>
      </c>
      <c r="C229" t="s">
        <v>29</v>
      </c>
      <c r="D229" t="s">
        <v>16</v>
      </c>
      <c r="E229" t="s">
        <v>17</v>
      </c>
      <c r="F229">
        <v>2740</v>
      </c>
      <c r="G229">
        <v>1812.31</v>
      </c>
      <c r="H229">
        <v>10</v>
      </c>
      <c r="I229">
        <v>0.2</v>
      </c>
      <c r="J229">
        <v>27400</v>
      </c>
      <c r="K229">
        <v>5480</v>
      </c>
      <c r="L229">
        <v>3796.9000000000015</v>
      </c>
      <c r="M229">
        <v>13.857299270072998</v>
      </c>
    </row>
    <row r="230" spans="1:13" x14ac:dyDescent="0.3">
      <c r="A230" t="s">
        <v>579</v>
      </c>
      <c r="B230" t="s">
        <v>580</v>
      </c>
      <c r="C230" t="s">
        <v>20</v>
      </c>
      <c r="D230" t="s">
        <v>16</v>
      </c>
      <c r="E230" t="s">
        <v>40</v>
      </c>
      <c r="F230">
        <v>5833</v>
      </c>
      <c r="G230">
        <v>4572.95</v>
      </c>
      <c r="H230">
        <v>2</v>
      </c>
      <c r="I230">
        <v>0.24</v>
      </c>
      <c r="J230">
        <v>11666</v>
      </c>
      <c r="K230">
        <v>2799.8399999999997</v>
      </c>
      <c r="L230">
        <v>-279.73999999999933</v>
      </c>
      <c r="M230">
        <v>-2.3979084519115323</v>
      </c>
    </row>
    <row r="231" spans="1:13" x14ac:dyDescent="0.3">
      <c r="A231" t="s">
        <v>582</v>
      </c>
      <c r="B231" t="s">
        <v>349</v>
      </c>
      <c r="C231" t="s">
        <v>15</v>
      </c>
      <c r="D231" t="s">
        <v>16</v>
      </c>
      <c r="E231" t="s">
        <v>85</v>
      </c>
      <c r="F231">
        <v>2197</v>
      </c>
      <c r="G231">
        <v>1796.35</v>
      </c>
      <c r="H231">
        <v>2</v>
      </c>
      <c r="I231">
        <v>0.13</v>
      </c>
      <c r="J231">
        <v>4394</v>
      </c>
      <c r="K231">
        <v>571.22</v>
      </c>
      <c r="L231">
        <v>230.08000000000015</v>
      </c>
      <c r="M231">
        <v>5.2362312243969082</v>
      </c>
    </row>
    <row r="232" spans="1:13" x14ac:dyDescent="0.3">
      <c r="A232" t="s">
        <v>583</v>
      </c>
      <c r="B232" t="s">
        <v>149</v>
      </c>
      <c r="C232" t="s">
        <v>29</v>
      </c>
      <c r="D232" t="s">
        <v>16</v>
      </c>
      <c r="E232" t="s">
        <v>40</v>
      </c>
      <c r="F232">
        <v>3208</v>
      </c>
      <c r="G232">
        <v>2536.44</v>
      </c>
      <c r="H232">
        <v>9</v>
      </c>
      <c r="I232">
        <v>0.21</v>
      </c>
      <c r="J232">
        <v>28872</v>
      </c>
      <c r="K232">
        <v>6063.12</v>
      </c>
      <c r="L232">
        <v>-19.079999999999018</v>
      </c>
      <c r="M232">
        <v>-6.6084788029921779E-2</v>
      </c>
    </row>
    <row r="233" spans="1:13" x14ac:dyDescent="0.3">
      <c r="A233" t="s">
        <v>596</v>
      </c>
      <c r="B233" t="s">
        <v>591</v>
      </c>
      <c r="C233" t="s">
        <v>25</v>
      </c>
      <c r="D233" t="s">
        <v>16</v>
      </c>
      <c r="E233" t="s">
        <v>26</v>
      </c>
      <c r="F233">
        <v>4502</v>
      </c>
      <c r="G233">
        <v>3067.69</v>
      </c>
      <c r="H233">
        <v>7</v>
      </c>
      <c r="I233">
        <v>0.21</v>
      </c>
      <c r="J233">
        <v>31514</v>
      </c>
      <c r="K233">
        <v>6617.94</v>
      </c>
      <c r="L233">
        <v>3422.2299999999987</v>
      </c>
      <c r="M233">
        <v>10.859395824078183</v>
      </c>
    </row>
    <row r="234" spans="1:13" x14ac:dyDescent="0.3">
      <c r="A234" t="s">
        <v>27</v>
      </c>
      <c r="B234" t="s">
        <v>28</v>
      </c>
      <c r="C234" t="s">
        <v>29</v>
      </c>
      <c r="D234" t="s">
        <v>30</v>
      </c>
      <c r="E234" t="s">
        <v>31</v>
      </c>
      <c r="F234">
        <v>3769</v>
      </c>
      <c r="G234">
        <v>2214.0300000000002</v>
      </c>
      <c r="H234">
        <v>6</v>
      </c>
      <c r="I234">
        <v>0.14000000000000001</v>
      </c>
      <c r="J234">
        <v>22614</v>
      </c>
      <c r="K234">
        <v>3165.9600000000005</v>
      </c>
      <c r="L234">
        <v>6163.8599999999988</v>
      </c>
      <c r="M234">
        <v>27.256832050941888</v>
      </c>
    </row>
    <row r="235" spans="1:13" x14ac:dyDescent="0.3">
      <c r="A235" t="s">
        <v>32</v>
      </c>
      <c r="B235" t="s">
        <v>33</v>
      </c>
      <c r="C235" t="s">
        <v>20</v>
      </c>
      <c r="D235" t="s">
        <v>30</v>
      </c>
      <c r="E235" t="s">
        <v>34</v>
      </c>
      <c r="F235">
        <v>2537</v>
      </c>
      <c r="G235">
        <v>1711.58</v>
      </c>
      <c r="H235">
        <v>10</v>
      </c>
      <c r="I235">
        <v>0.23</v>
      </c>
      <c r="J235">
        <v>25370</v>
      </c>
      <c r="K235">
        <v>5835.1</v>
      </c>
      <c r="L235">
        <v>2419.1000000000004</v>
      </c>
      <c r="M235">
        <v>9.5352778872684283</v>
      </c>
    </row>
    <row r="236" spans="1:13" x14ac:dyDescent="0.3">
      <c r="A236" t="s">
        <v>54</v>
      </c>
      <c r="B236" t="s">
        <v>55</v>
      </c>
      <c r="C236" t="s">
        <v>25</v>
      </c>
      <c r="D236" t="s">
        <v>30</v>
      </c>
      <c r="E236" t="s">
        <v>56</v>
      </c>
      <c r="F236">
        <v>1677</v>
      </c>
      <c r="G236">
        <v>1012.67</v>
      </c>
      <c r="H236">
        <v>5</v>
      </c>
      <c r="I236">
        <v>0.35</v>
      </c>
      <c r="J236">
        <v>8385</v>
      </c>
      <c r="K236">
        <v>2934.75</v>
      </c>
      <c r="L236">
        <v>386.90000000000055</v>
      </c>
      <c r="M236">
        <v>4.6141920095408535</v>
      </c>
    </row>
    <row r="237" spans="1:13" x14ac:dyDescent="0.3">
      <c r="A237" t="s">
        <v>57</v>
      </c>
      <c r="B237" t="s">
        <v>58</v>
      </c>
      <c r="C237" t="s">
        <v>29</v>
      </c>
      <c r="D237" t="s">
        <v>30</v>
      </c>
      <c r="E237" t="s">
        <v>59</v>
      </c>
      <c r="F237">
        <v>2394</v>
      </c>
      <c r="G237">
        <v>2017.7</v>
      </c>
      <c r="H237">
        <v>5</v>
      </c>
      <c r="I237">
        <v>0</v>
      </c>
      <c r="J237">
        <v>11970</v>
      </c>
      <c r="K237">
        <v>0</v>
      </c>
      <c r="L237">
        <v>1881.5</v>
      </c>
      <c r="M237">
        <v>15.718462823725982</v>
      </c>
    </row>
    <row r="238" spans="1:13" x14ac:dyDescent="0.3">
      <c r="A238" t="s">
        <v>63</v>
      </c>
      <c r="B238" t="s">
        <v>64</v>
      </c>
      <c r="C238" t="s">
        <v>29</v>
      </c>
      <c r="D238" t="s">
        <v>30</v>
      </c>
      <c r="E238" t="s">
        <v>31</v>
      </c>
      <c r="F238">
        <v>2696</v>
      </c>
      <c r="G238">
        <v>1834.95</v>
      </c>
      <c r="H238">
        <v>4</v>
      </c>
      <c r="I238">
        <v>0.24</v>
      </c>
      <c r="J238">
        <v>10784</v>
      </c>
      <c r="K238">
        <v>2588.16</v>
      </c>
      <c r="L238">
        <v>856.04</v>
      </c>
      <c r="M238">
        <v>7.9380563798219574</v>
      </c>
    </row>
    <row r="239" spans="1:13" x14ac:dyDescent="0.3">
      <c r="A239" t="s">
        <v>79</v>
      </c>
      <c r="B239" t="s">
        <v>80</v>
      </c>
      <c r="C239" t="s">
        <v>29</v>
      </c>
      <c r="D239" t="s">
        <v>30</v>
      </c>
      <c r="E239" t="s">
        <v>31</v>
      </c>
      <c r="F239">
        <v>1867</v>
      </c>
      <c r="G239">
        <v>1440.32</v>
      </c>
      <c r="H239">
        <v>10</v>
      </c>
      <c r="I239">
        <v>0.14000000000000001</v>
      </c>
      <c r="J239">
        <v>18670</v>
      </c>
      <c r="K239">
        <v>2613.8000000000002</v>
      </c>
      <c r="L239">
        <v>1653.0000000000009</v>
      </c>
      <c r="M239">
        <v>8.8537761114086813</v>
      </c>
    </row>
    <row r="240" spans="1:13" x14ac:dyDescent="0.3">
      <c r="A240" t="s">
        <v>82</v>
      </c>
      <c r="B240" t="s">
        <v>83</v>
      </c>
      <c r="C240" t="s">
        <v>15</v>
      </c>
      <c r="D240" t="s">
        <v>30</v>
      </c>
      <c r="E240" t="s">
        <v>34</v>
      </c>
      <c r="F240">
        <v>2571</v>
      </c>
      <c r="G240">
        <v>1532.46</v>
      </c>
      <c r="H240">
        <v>7</v>
      </c>
      <c r="I240">
        <v>0.01</v>
      </c>
      <c r="J240">
        <v>17997</v>
      </c>
      <c r="K240">
        <v>179.97</v>
      </c>
      <c r="L240">
        <v>7089.8099999999986</v>
      </c>
      <c r="M240">
        <v>39.394399066511077</v>
      </c>
    </row>
    <row r="241" spans="1:13" x14ac:dyDescent="0.3">
      <c r="A241" t="s">
        <v>86</v>
      </c>
      <c r="B241" t="s">
        <v>87</v>
      </c>
      <c r="C241" t="s">
        <v>29</v>
      </c>
      <c r="D241" t="s">
        <v>30</v>
      </c>
      <c r="E241" t="s">
        <v>56</v>
      </c>
      <c r="F241">
        <v>2455</v>
      </c>
      <c r="G241">
        <v>1668.38</v>
      </c>
      <c r="H241">
        <v>7</v>
      </c>
      <c r="I241">
        <v>0.1</v>
      </c>
      <c r="J241">
        <v>17185</v>
      </c>
      <c r="K241">
        <v>1718.5</v>
      </c>
      <c r="L241">
        <v>3787.84</v>
      </c>
      <c r="M241">
        <v>22.04154786150713</v>
      </c>
    </row>
    <row r="242" spans="1:13" x14ac:dyDescent="0.3">
      <c r="A242" t="s">
        <v>88</v>
      </c>
      <c r="B242" t="s">
        <v>89</v>
      </c>
      <c r="C242" t="s">
        <v>20</v>
      </c>
      <c r="D242" t="s">
        <v>30</v>
      </c>
      <c r="E242" t="s">
        <v>59</v>
      </c>
      <c r="F242">
        <v>2157</v>
      </c>
      <c r="G242">
        <v>1832.41</v>
      </c>
      <c r="H242">
        <v>1</v>
      </c>
      <c r="I242">
        <v>0.17</v>
      </c>
      <c r="J242">
        <v>2157</v>
      </c>
      <c r="K242">
        <v>366.69000000000005</v>
      </c>
      <c r="L242">
        <v>-42.100000000000136</v>
      </c>
      <c r="M242">
        <v>-1.9517848864163252</v>
      </c>
    </row>
    <row r="243" spans="1:13" x14ac:dyDescent="0.3">
      <c r="A243" t="s">
        <v>101</v>
      </c>
      <c r="B243" t="s">
        <v>102</v>
      </c>
      <c r="C243" t="s">
        <v>29</v>
      </c>
      <c r="D243" t="s">
        <v>30</v>
      </c>
      <c r="E243" t="s">
        <v>59</v>
      </c>
      <c r="F243">
        <v>2295</v>
      </c>
      <c r="G243">
        <v>1388.66</v>
      </c>
      <c r="H243">
        <v>10</v>
      </c>
      <c r="I243">
        <v>0.17</v>
      </c>
      <c r="J243">
        <v>22950</v>
      </c>
      <c r="K243">
        <v>3901.5000000000005</v>
      </c>
      <c r="L243">
        <v>5161.8999999999996</v>
      </c>
      <c r="M243">
        <v>22.491938997821347</v>
      </c>
    </row>
    <row r="244" spans="1:13" x14ac:dyDescent="0.3">
      <c r="A244" t="s">
        <v>103</v>
      </c>
      <c r="B244" t="s">
        <v>104</v>
      </c>
      <c r="C244" t="s">
        <v>20</v>
      </c>
      <c r="D244" t="s">
        <v>30</v>
      </c>
      <c r="E244" t="s">
        <v>56</v>
      </c>
      <c r="F244">
        <v>2099</v>
      </c>
      <c r="G244">
        <v>1461.58</v>
      </c>
      <c r="H244">
        <v>1</v>
      </c>
      <c r="I244">
        <v>7.0000000000000007E-2</v>
      </c>
      <c r="J244">
        <v>2099</v>
      </c>
      <c r="K244">
        <v>146.93</v>
      </c>
      <c r="L244">
        <v>490.49000000000007</v>
      </c>
      <c r="M244">
        <v>23.367794187708434</v>
      </c>
    </row>
    <row r="245" spans="1:13" x14ac:dyDescent="0.3">
      <c r="A245" t="s">
        <v>105</v>
      </c>
      <c r="B245" t="s">
        <v>104</v>
      </c>
      <c r="C245" t="s">
        <v>29</v>
      </c>
      <c r="D245" t="s">
        <v>30</v>
      </c>
      <c r="E245" t="s">
        <v>56</v>
      </c>
      <c r="F245">
        <v>3329</v>
      </c>
      <c r="G245">
        <v>1858.18</v>
      </c>
      <c r="H245">
        <v>7</v>
      </c>
      <c r="I245">
        <v>0.02</v>
      </c>
      <c r="J245">
        <v>23303</v>
      </c>
      <c r="K245">
        <v>466.06</v>
      </c>
      <c r="L245">
        <v>9829.68</v>
      </c>
      <c r="M245">
        <v>42.182036647641937</v>
      </c>
    </row>
    <row r="246" spans="1:13" x14ac:dyDescent="0.3">
      <c r="A246" t="s">
        <v>113</v>
      </c>
      <c r="B246" t="s">
        <v>114</v>
      </c>
      <c r="C246" t="s">
        <v>15</v>
      </c>
      <c r="D246" t="s">
        <v>30</v>
      </c>
      <c r="E246" t="s">
        <v>56</v>
      </c>
      <c r="F246">
        <v>1533</v>
      </c>
      <c r="G246">
        <v>1196.2</v>
      </c>
      <c r="H246">
        <v>6</v>
      </c>
      <c r="I246">
        <v>0.22</v>
      </c>
      <c r="J246">
        <v>9198</v>
      </c>
      <c r="K246">
        <v>2023.56</v>
      </c>
      <c r="L246">
        <v>-2.760000000000673</v>
      </c>
      <c r="M246">
        <v>-3.0006523157215404E-2</v>
      </c>
    </row>
    <row r="247" spans="1:13" x14ac:dyDescent="0.3">
      <c r="A247" t="s">
        <v>121</v>
      </c>
      <c r="B247" t="s">
        <v>122</v>
      </c>
      <c r="C247" t="s">
        <v>25</v>
      </c>
      <c r="D247" t="s">
        <v>30</v>
      </c>
      <c r="E247" t="s">
        <v>31</v>
      </c>
      <c r="F247">
        <v>2510</v>
      </c>
      <c r="G247">
        <v>1579.75</v>
      </c>
      <c r="H247">
        <v>4</v>
      </c>
      <c r="I247">
        <v>0.21</v>
      </c>
      <c r="J247">
        <v>10040</v>
      </c>
      <c r="K247">
        <v>2108.4</v>
      </c>
      <c r="L247">
        <v>1612.6</v>
      </c>
      <c r="M247">
        <v>16.061752988047807</v>
      </c>
    </row>
    <row r="248" spans="1:13" x14ac:dyDescent="0.3">
      <c r="A248" t="s">
        <v>124</v>
      </c>
      <c r="B248" t="s">
        <v>125</v>
      </c>
      <c r="C248" t="s">
        <v>15</v>
      </c>
      <c r="D248" t="s">
        <v>30</v>
      </c>
      <c r="E248" t="s">
        <v>59</v>
      </c>
      <c r="F248">
        <v>3683</v>
      </c>
      <c r="G248">
        <v>2638.09</v>
      </c>
      <c r="H248">
        <v>4</v>
      </c>
      <c r="I248">
        <v>0.03</v>
      </c>
      <c r="J248">
        <v>14732</v>
      </c>
      <c r="K248">
        <v>441.96</v>
      </c>
      <c r="L248">
        <v>3737.6799999999994</v>
      </c>
      <c r="M248">
        <v>25.371164811295138</v>
      </c>
    </row>
    <row r="249" spans="1:13" x14ac:dyDescent="0.3">
      <c r="A249" t="s">
        <v>134</v>
      </c>
      <c r="B249" t="s">
        <v>135</v>
      </c>
      <c r="C249" t="s">
        <v>25</v>
      </c>
      <c r="D249" t="s">
        <v>30</v>
      </c>
      <c r="E249" t="s">
        <v>56</v>
      </c>
      <c r="F249">
        <v>2966</v>
      </c>
      <c r="G249">
        <v>2186.0300000000002</v>
      </c>
      <c r="H249">
        <v>7</v>
      </c>
      <c r="I249">
        <v>0.24</v>
      </c>
      <c r="J249">
        <v>20762</v>
      </c>
      <c r="K249">
        <v>4982.88</v>
      </c>
      <c r="L249">
        <v>476.90999999999894</v>
      </c>
      <c r="M249">
        <v>2.2970330411328335</v>
      </c>
    </row>
    <row r="250" spans="1:13" x14ac:dyDescent="0.3">
      <c r="A250" t="s">
        <v>137</v>
      </c>
      <c r="B250" t="s">
        <v>138</v>
      </c>
      <c r="C250" t="s">
        <v>29</v>
      </c>
      <c r="D250" t="s">
        <v>30</v>
      </c>
      <c r="E250" t="s">
        <v>31</v>
      </c>
      <c r="F250">
        <v>2824</v>
      </c>
      <c r="G250">
        <v>1904.44</v>
      </c>
      <c r="H250">
        <v>10</v>
      </c>
      <c r="I250">
        <v>0.01</v>
      </c>
      <c r="J250">
        <v>28240</v>
      </c>
      <c r="K250">
        <v>282.40000000000003</v>
      </c>
      <c r="L250">
        <v>8913.1999999999989</v>
      </c>
      <c r="M250">
        <v>31.562322946175637</v>
      </c>
    </row>
    <row r="251" spans="1:13" x14ac:dyDescent="0.3">
      <c r="A251" t="s">
        <v>148</v>
      </c>
      <c r="B251" t="s">
        <v>149</v>
      </c>
      <c r="C251" t="s">
        <v>15</v>
      </c>
      <c r="D251" t="s">
        <v>30</v>
      </c>
      <c r="E251" t="s">
        <v>34</v>
      </c>
      <c r="F251">
        <v>2992</v>
      </c>
      <c r="G251">
        <v>2056.64</v>
      </c>
      <c r="H251">
        <v>10</v>
      </c>
      <c r="I251">
        <v>0.22</v>
      </c>
      <c r="J251">
        <v>29920</v>
      </c>
      <c r="K251">
        <v>6582.4</v>
      </c>
      <c r="L251">
        <v>2771.2000000000025</v>
      </c>
      <c r="M251">
        <v>9.2620320855615059</v>
      </c>
    </row>
    <row r="252" spans="1:13" x14ac:dyDescent="0.3">
      <c r="A252" t="s">
        <v>166</v>
      </c>
      <c r="B252" t="s">
        <v>167</v>
      </c>
      <c r="C252" t="s">
        <v>25</v>
      </c>
      <c r="D252" t="s">
        <v>30</v>
      </c>
      <c r="E252" t="s">
        <v>31</v>
      </c>
      <c r="F252">
        <v>3064</v>
      </c>
      <c r="G252">
        <v>2206.7800000000002</v>
      </c>
      <c r="H252">
        <v>3</v>
      </c>
      <c r="I252">
        <v>0.35</v>
      </c>
      <c r="J252">
        <v>9192</v>
      </c>
      <c r="K252">
        <v>3217.2</v>
      </c>
      <c r="L252">
        <v>-645.54</v>
      </c>
      <c r="M252">
        <v>-7.0228459530026104</v>
      </c>
    </row>
    <row r="253" spans="1:13" x14ac:dyDescent="0.3">
      <c r="A253" t="s">
        <v>170</v>
      </c>
      <c r="B253" t="s">
        <v>171</v>
      </c>
      <c r="C253" t="s">
        <v>25</v>
      </c>
      <c r="D253" t="s">
        <v>30</v>
      </c>
      <c r="E253" t="s">
        <v>34</v>
      </c>
      <c r="F253">
        <v>2297</v>
      </c>
      <c r="G253">
        <v>1462.11</v>
      </c>
      <c r="H253">
        <v>4</v>
      </c>
      <c r="I253">
        <v>0.28000000000000003</v>
      </c>
      <c r="J253">
        <v>9188</v>
      </c>
      <c r="K253">
        <v>2572.6400000000003</v>
      </c>
      <c r="L253">
        <v>766.92000000000007</v>
      </c>
      <c r="M253">
        <v>8.3469743143230311</v>
      </c>
    </row>
    <row r="254" spans="1:13" x14ac:dyDescent="0.3">
      <c r="A254" t="s">
        <v>172</v>
      </c>
      <c r="B254" t="s">
        <v>173</v>
      </c>
      <c r="C254" t="s">
        <v>15</v>
      </c>
      <c r="D254" t="s">
        <v>30</v>
      </c>
      <c r="E254" t="s">
        <v>59</v>
      </c>
      <c r="F254">
        <v>3442</v>
      </c>
      <c r="G254">
        <v>2896.33</v>
      </c>
      <c r="H254">
        <v>10</v>
      </c>
      <c r="I254">
        <v>0.1</v>
      </c>
      <c r="J254">
        <v>34420</v>
      </c>
      <c r="K254">
        <v>3442</v>
      </c>
      <c r="L254">
        <v>2014.7000000000007</v>
      </c>
      <c r="M254">
        <v>5.8532829750145288</v>
      </c>
    </row>
    <row r="255" spans="1:13" x14ac:dyDescent="0.3">
      <c r="A255" t="s">
        <v>174</v>
      </c>
      <c r="B255" t="s">
        <v>175</v>
      </c>
      <c r="C255" t="s">
        <v>15</v>
      </c>
      <c r="D255" t="s">
        <v>30</v>
      </c>
      <c r="E255" t="s">
        <v>56</v>
      </c>
      <c r="F255">
        <v>2598</v>
      </c>
      <c r="G255">
        <v>1475.92</v>
      </c>
      <c r="H255">
        <v>2</v>
      </c>
      <c r="I255">
        <v>0.08</v>
      </c>
      <c r="J255">
        <v>5196</v>
      </c>
      <c r="K255">
        <v>415.68</v>
      </c>
      <c r="L255">
        <v>1828.4799999999998</v>
      </c>
      <c r="M255">
        <v>35.190146266358738</v>
      </c>
    </row>
    <row r="256" spans="1:13" x14ac:dyDescent="0.3">
      <c r="A256" t="s">
        <v>176</v>
      </c>
      <c r="B256" t="s">
        <v>177</v>
      </c>
      <c r="C256" t="s">
        <v>25</v>
      </c>
      <c r="D256" t="s">
        <v>30</v>
      </c>
      <c r="E256" t="s">
        <v>34</v>
      </c>
      <c r="F256">
        <v>2831</v>
      </c>
      <c r="G256">
        <v>1847.99</v>
      </c>
      <c r="H256">
        <v>6</v>
      </c>
      <c r="I256">
        <v>0.33</v>
      </c>
      <c r="J256">
        <v>16986</v>
      </c>
      <c r="K256">
        <v>5605.38</v>
      </c>
      <c r="L256">
        <v>292.67999999999938</v>
      </c>
      <c r="M256">
        <v>1.7230660543977359</v>
      </c>
    </row>
    <row r="257" spans="1:13" x14ac:dyDescent="0.3">
      <c r="A257" t="s">
        <v>178</v>
      </c>
      <c r="B257" t="s">
        <v>179</v>
      </c>
      <c r="C257" t="s">
        <v>25</v>
      </c>
      <c r="D257" t="s">
        <v>30</v>
      </c>
      <c r="E257" t="s">
        <v>31</v>
      </c>
      <c r="F257">
        <v>2475</v>
      </c>
      <c r="G257">
        <v>1502.76</v>
      </c>
      <c r="H257">
        <v>2</v>
      </c>
      <c r="I257">
        <v>0.36</v>
      </c>
      <c r="J257">
        <v>4950</v>
      </c>
      <c r="K257">
        <v>1782</v>
      </c>
      <c r="L257">
        <v>162.48000000000002</v>
      </c>
      <c r="M257">
        <v>3.2824242424242431</v>
      </c>
    </row>
    <row r="258" spans="1:13" x14ac:dyDescent="0.3">
      <c r="A258" t="s">
        <v>191</v>
      </c>
      <c r="B258" t="s">
        <v>192</v>
      </c>
      <c r="C258" t="s">
        <v>25</v>
      </c>
      <c r="D258" t="s">
        <v>30</v>
      </c>
      <c r="E258" t="s">
        <v>56</v>
      </c>
      <c r="F258">
        <v>3350</v>
      </c>
      <c r="G258">
        <v>2321.2800000000002</v>
      </c>
      <c r="H258">
        <v>5</v>
      </c>
      <c r="I258">
        <v>0.25</v>
      </c>
      <c r="J258">
        <v>16750</v>
      </c>
      <c r="K258">
        <v>4187.5</v>
      </c>
      <c r="L258">
        <v>956.09999999999854</v>
      </c>
      <c r="M258">
        <v>5.7080597014925285</v>
      </c>
    </row>
    <row r="259" spans="1:13" x14ac:dyDescent="0.3">
      <c r="A259" t="s">
        <v>193</v>
      </c>
      <c r="B259" t="s">
        <v>194</v>
      </c>
      <c r="C259" t="s">
        <v>29</v>
      </c>
      <c r="D259" t="s">
        <v>30</v>
      </c>
      <c r="E259" t="s">
        <v>56</v>
      </c>
      <c r="F259">
        <v>3351</v>
      </c>
      <c r="G259">
        <v>2362.9499999999998</v>
      </c>
      <c r="H259">
        <v>6</v>
      </c>
      <c r="I259">
        <v>0.22</v>
      </c>
      <c r="J259">
        <v>20106</v>
      </c>
      <c r="K259">
        <v>4423.32</v>
      </c>
      <c r="L259">
        <v>1504.9800000000014</v>
      </c>
      <c r="M259">
        <v>7.4852282900626745</v>
      </c>
    </row>
    <row r="260" spans="1:13" x14ac:dyDescent="0.3">
      <c r="A260" t="s">
        <v>195</v>
      </c>
      <c r="B260" t="s">
        <v>196</v>
      </c>
      <c r="C260" t="s">
        <v>15</v>
      </c>
      <c r="D260" t="s">
        <v>30</v>
      </c>
      <c r="E260" t="s">
        <v>34</v>
      </c>
      <c r="F260">
        <v>3531</v>
      </c>
      <c r="G260">
        <v>2427.0500000000002</v>
      </c>
      <c r="H260">
        <v>4</v>
      </c>
      <c r="I260">
        <v>0.13</v>
      </c>
      <c r="J260">
        <v>14124</v>
      </c>
      <c r="K260">
        <v>1836.1200000000001</v>
      </c>
      <c r="L260">
        <v>2579.6799999999994</v>
      </c>
      <c r="M260">
        <v>18.264514301897474</v>
      </c>
    </row>
    <row r="261" spans="1:13" x14ac:dyDescent="0.3">
      <c r="A261" t="s">
        <v>197</v>
      </c>
      <c r="B261" t="s">
        <v>198</v>
      </c>
      <c r="C261" t="s">
        <v>25</v>
      </c>
      <c r="D261" t="s">
        <v>30</v>
      </c>
      <c r="E261" t="s">
        <v>59</v>
      </c>
      <c r="F261">
        <v>2985</v>
      </c>
      <c r="G261">
        <v>1802.77</v>
      </c>
      <c r="H261">
        <v>4</v>
      </c>
      <c r="I261">
        <v>0.39</v>
      </c>
      <c r="J261">
        <v>11940</v>
      </c>
      <c r="K261">
        <v>4656.6000000000004</v>
      </c>
      <c r="L261">
        <v>72.319999999999709</v>
      </c>
      <c r="M261">
        <v>0.60569514237855704</v>
      </c>
    </row>
    <row r="262" spans="1:13" x14ac:dyDescent="0.3">
      <c r="A262" t="s">
        <v>199</v>
      </c>
      <c r="B262" t="s">
        <v>200</v>
      </c>
      <c r="C262" t="s">
        <v>29</v>
      </c>
      <c r="D262" t="s">
        <v>30</v>
      </c>
      <c r="E262" t="s">
        <v>34</v>
      </c>
      <c r="F262">
        <v>2820</v>
      </c>
      <c r="G262">
        <v>2006.71</v>
      </c>
      <c r="H262">
        <v>5</v>
      </c>
      <c r="I262">
        <v>0.1</v>
      </c>
      <c r="J262">
        <v>14100</v>
      </c>
      <c r="K262">
        <v>1410</v>
      </c>
      <c r="L262">
        <v>2656.4500000000007</v>
      </c>
      <c r="M262">
        <v>18.84007092198582</v>
      </c>
    </row>
    <row r="263" spans="1:13" x14ac:dyDescent="0.3">
      <c r="A263" t="s">
        <v>201</v>
      </c>
      <c r="B263" t="s">
        <v>202</v>
      </c>
      <c r="C263" t="s">
        <v>20</v>
      </c>
      <c r="D263" t="s">
        <v>30</v>
      </c>
      <c r="E263" t="s">
        <v>31</v>
      </c>
      <c r="F263">
        <v>1935</v>
      </c>
      <c r="G263">
        <v>1571.04</v>
      </c>
      <c r="H263">
        <v>5</v>
      </c>
      <c r="I263">
        <v>0.09</v>
      </c>
      <c r="J263">
        <v>9675</v>
      </c>
      <c r="K263">
        <v>870.75</v>
      </c>
      <c r="L263">
        <v>949.05000000000018</v>
      </c>
      <c r="M263">
        <v>9.8093023255813971</v>
      </c>
    </row>
    <row r="264" spans="1:13" x14ac:dyDescent="0.3">
      <c r="A264" t="s">
        <v>203</v>
      </c>
      <c r="B264" t="s">
        <v>55</v>
      </c>
      <c r="C264" t="s">
        <v>29</v>
      </c>
      <c r="D264" t="s">
        <v>30</v>
      </c>
      <c r="E264" t="s">
        <v>34</v>
      </c>
      <c r="F264">
        <v>3464</v>
      </c>
      <c r="G264">
        <v>2867.15</v>
      </c>
      <c r="H264">
        <v>1</v>
      </c>
      <c r="I264">
        <v>0.14000000000000001</v>
      </c>
      <c r="J264">
        <v>3464</v>
      </c>
      <c r="K264">
        <v>484.96000000000004</v>
      </c>
      <c r="L264">
        <v>111.88999999999987</v>
      </c>
      <c r="M264">
        <v>3.2300808314087721</v>
      </c>
    </row>
    <row r="265" spans="1:13" x14ac:dyDescent="0.3">
      <c r="A265" t="s">
        <v>206</v>
      </c>
      <c r="B265" t="s">
        <v>207</v>
      </c>
      <c r="C265" t="s">
        <v>25</v>
      </c>
      <c r="D265" t="s">
        <v>30</v>
      </c>
      <c r="E265" t="s">
        <v>34</v>
      </c>
      <c r="F265">
        <v>2196</v>
      </c>
      <c r="G265">
        <v>1537.64</v>
      </c>
      <c r="H265">
        <v>10</v>
      </c>
      <c r="I265">
        <v>0.28999999999999998</v>
      </c>
      <c r="J265">
        <v>21960</v>
      </c>
      <c r="K265">
        <v>6368.4</v>
      </c>
      <c r="L265">
        <v>215.19999999999891</v>
      </c>
      <c r="M265">
        <v>0.97996357012749957</v>
      </c>
    </row>
    <row r="266" spans="1:13" x14ac:dyDescent="0.3">
      <c r="A266" t="s">
        <v>216</v>
      </c>
      <c r="B266" t="s">
        <v>28</v>
      </c>
      <c r="C266" t="s">
        <v>20</v>
      </c>
      <c r="D266" t="s">
        <v>30</v>
      </c>
      <c r="E266" t="s">
        <v>31</v>
      </c>
      <c r="F266">
        <v>2390</v>
      </c>
      <c r="G266">
        <v>1911.82</v>
      </c>
      <c r="H266">
        <v>3</v>
      </c>
      <c r="I266">
        <v>0.19</v>
      </c>
      <c r="J266">
        <v>7170</v>
      </c>
      <c r="K266">
        <v>1362.3</v>
      </c>
      <c r="L266">
        <v>72.240000000000009</v>
      </c>
      <c r="M266">
        <v>1.0075313807531383</v>
      </c>
    </row>
    <row r="267" spans="1:13" x14ac:dyDescent="0.3">
      <c r="A267" t="s">
        <v>217</v>
      </c>
      <c r="B267" t="s">
        <v>149</v>
      </c>
      <c r="C267" t="s">
        <v>29</v>
      </c>
      <c r="D267" t="s">
        <v>30</v>
      </c>
      <c r="E267" t="s">
        <v>31</v>
      </c>
      <c r="F267">
        <v>3255</v>
      </c>
      <c r="G267">
        <v>2447.71</v>
      </c>
      <c r="H267">
        <v>1</v>
      </c>
      <c r="I267">
        <v>0.24</v>
      </c>
      <c r="J267">
        <v>3255</v>
      </c>
      <c r="K267">
        <v>781.19999999999993</v>
      </c>
      <c r="L267">
        <v>26.090000000000032</v>
      </c>
      <c r="M267">
        <v>0.80153609831029282</v>
      </c>
    </row>
    <row r="268" spans="1:13" x14ac:dyDescent="0.3">
      <c r="A268" t="s">
        <v>230</v>
      </c>
      <c r="B268" t="s">
        <v>231</v>
      </c>
      <c r="C268" t="s">
        <v>25</v>
      </c>
      <c r="D268" t="s">
        <v>30</v>
      </c>
      <c r="E268" t="s">
        <v>56</v>
      </c>
      <c r="F268">
        <v>2960</v>
      </c>
      <c r="G268">
        <v>1935.99</v>
      </c>
      <c r="H268">
        <v>10</v>
      </c>
      <c r="I268">
        <v>0.28999999999999998</v>
      </c>
      <c r="J268">
        <v>29600</v>
      </c>
      <c r="K268">
        <v>8584</v>
      </c>
      <c r="L268">
        <v>1656.0999999999985</v>
      </c>
      <c r="M268">
        <v>5.5949324324324277</v>
      </c>
    </row>
    <row r="269" spans="1:13" x14ac:dyDescent="0.3">
      <c r="A269" t="s">
        <v>236</v>
      </c>
      <c r="B269" t="s">
        <v>237</v>
      </c>
      <c r="C269" t="s">
        <v>25</v>
      </c>
      <c r="D269" t="s">
        <v>30</v>
      </c>
      <c r="E269" t="s">
        <v>31</v>
      </c>
      <c r="F269">
        <v>2123</v>
      </c>
      <c r="G269">
        <v>1452.97</v>
      </c>
      <c r="H269">
        <v>4</v>
      </c>
      <c r="I269">
        <v>0.37</v>
      </c>
      <c r="J269">
        <v>8492</v>
      </c>
      <c r="K269">
        <v>3142.04</v>
      </c>
      <c r="L269">
        <v>-461.92000000000007</v>
      </c>
      <c r="M269">
        <v>-5.4394724446537923</v>
      </c>
    </row>
    <row r="270" spans="1:13" x14ac:dyDescent="0.3">
      <c r="A270" t="s">
        <v>238</v>
      </c>
      <c r="B270" t="s">
        <v>42</v>
      </c>
      <c r="C270" t="s">
        <v>25</v>
      </c>
      <c r="D270" t="s">
        <v>30</v>
      </c>
      <c r="E270" t="s">
        <v>59</v>
      </c>
      <c r="F270">
        <v>2114</v>
      </c>
      <c r="G270">
        <v>1587.6</v>
      </c>
      <c r="H270">
        <v>9</v>
      </c>
      <c r="I270">
        <v>0.3</v>
      </c>
      <c r="J270">
        <v>19026</v>
      </c>
      <c r="K270">
        <v>5707.8</v>
      </c>
      <c r="L270">
        <v>-970.19999999999982</v>
      </c>
      <c r="M270">
        <v>-5.0993377483443698</v>
      </c>
    </row>
    <row r="271" spans="1:13" x14ac:dyDescent="0.3">
      <c r="A271" t="s">
        <v>239</v>
      </c>
      <c r="B271" t="s">
        <v>240</v>
      </c>
      <c r="C271" t="s">
        <v>29</v>
      </c>
      <c r="D271" t="s">
        <v>30</v>
      </c>
      <c r="E271" t="s">
        <v>31</v>
      </c>
      <c r="F271">
        <v>3008</v>
      </c>
      <c r="G271">
        <v>2472.64</v>
      </c>
      <c r="H271">
        <v>3</v>
      </c>
      <c r="I271">
        <v>7.0000000000000007E-2</v>
      </c>
      <c r="J271">
        <v>9024</v>
      </c>
      <c r="K271">
        <v>631.68000000000006</v>
      </c>
      <c r="L271">
        <v>974.39999999999986</v>
      </c>
      <c r="M271">
        <v>10.797872340425531</v>
      </c>
    </row>
    <row r="272" spans="1:13" x14ac:dyDescent="0.3">
      <c r="A272" t="s">
        <v>243</v>
      </c>
      <c r="B272" t="s">
        <v>244</v>
      </c>
      <c r="C272" t="s">
        <v>20</v>
      </c>
      <c r="D272" t="s">
        <v>30</v>
      </c>
      <c r="E272" t="s">
        <v>31</v>
      </c>
      <c r="F272">
        <v>1909</v>
      </c>
      <c r="G272">
        <v>1490.26</v>
      </c>
      <c r="H272">
        <v>9</v>
      </c>
      <c r="I272">
        <v>0.17</v>
      </c>
      <c r="J272">
        <v>17181</v>
      </c>
      <c r="K272">
        <v>2920.7700000000004</v>
      </c>
      <c r="L272">
        <v>847.88999999999942</v>
      </c>
      <c r="M272">
        <v>4.9350445259298024</v>
      </c>
    </row>
    <row r="273" spans="1:13" x14ac:dyDescent="0.3">
      <c r="A273" t="s">
        <v>249</v>
      </c>
      <c r="B273" t="s">
        <v>49</v>
      </c>
      <c r="C273" t="s">
        <v>15</v>
      </c>
      <c r="D273" t="s">
        <v>30</v>
      </c>
      <c r="E273" t="s">
        <v>31</v>
      </c>
      <c r="F273">
        <v>2403</v>
      </c>
      <c r="G273">
        <v>1484.22</v>
      </c>
      <c r="H273">
        <v>9</v>
      </c>
      <c r="I273">
        <v>0.16</v>
      </c>
      <c r="J273">
        <v>21627</v>
      </c>
      <c r="K273">
        <v>3460.32</v>
      </c>
      <c r="L273">
        <v>4808.7000000000007</v>
      </c>
      <c r="M273">
        <v>22.234706616729092</v>
      </c>
    </row>
    <row r="274" spans="1:13" x14ac:dyDescent="0.3">
      <c r="A274" t="s">
        <v>252</v>
      </c>
      <c r="B274" t="s">
        <v>253</v>
      </c>
      <c r="C274" t="s">
        <v>15</v>
      </c>
      <c r="D274" t="s">
        <v>30</v>
      </c>
      <c r="E274" t="s">
        <v>34</v>
      </c>
      <c r="F274">
        <v>2780</v>
      </c>
      <c r="G274">
        <v>1849.06</v>
      </c>
      <c r="H274">
        <v>6</v>
      </c>
      <c r="I274">
        <v>0.01</v>
      </c>
      <c r="J274">
        <v>16680</v>
      </c>
      <c r="K274">
        <v>166.8</v>
      </c>
      <c r="L274">
        <v>5418.8399999999992</v>
      </c>
      <c r="M274">
        <v>32.487050359712228</v>
      </c>
    </row>
    <row r="275" spans="1:13" x14ac:dyDescent="0.3">
      <c r="A275" t="s">
        <v>257</v>
      </c>
      <c r="B275" t="s">
        <v>258</v>
      </c>
      <c r="C275" t="s">
        <v>25</v>
      </c>
      <c r="D275" t="s">
        <v>30</v>
      </c>
      <c r="E275" t="s">
        <v>59</v>
      </c>
      <c r="F275">
        <v>1721</v>
      </c>
      <c r="G275">
        <v>1370.71</v>
      </c>
      <c r="H275">
        <v>3</v>
      </c>
      <c r="I275">
        <v>0.38</v>
      </c>
      <c r="J275">
        <v>5163</v>
      </c>
      <c r="K275">
        <v>1961.94</v>
      </c>
      <c r="L275">
        <v>-911.07000000000016</v>
      </c>
      <c r="M275">
        <v>-17.646135967460783</v>
      </c>
    </row>
    <row r="276" spans="1:13" x14ac:dyDescent="0.3">
      <c r="A276" t="s">
        <v>263</v>
      </c>
      <c r="B276" t="s">
        <v>264</v>
      </c>
      <c r="C276" t="s">
        <v>29</v>
      </c>
      <c r="D276" t="s">
        <v>30</v>
      </c>
      <c r="E276" t="s">
        <v>34</v>
      </c>
      <c r="F276">
        <v>3878</v>
      </c>
      <c r="G276">
        <v>3100.08</v>
      </c>
      <c r="H276">
        <v>2</v>
      </c>
      <c r="I276">
        <v>0.21</v>
      </c>
      <c r="J276">
        <v>7756</v>
      </c>
      <c r="K276">
        <v>1628.76</v>
      </c>
      <c r="L276">
        <v>-72.919999999999845</v>
      </c>
      <c r="M276">
        <v>-0.94017534811758441</v>
      </c>
    </row>
    <row r="277" spans="1:13" x14ac:dyDescent="0.3">
      <c r="A277" t="s">
        <v>269</v>
      </c>
      <c r="B277" t="s">
        <v>270</v>
      </c>
      <c r="C277" t="s">
        <v>29</v>
      </c>
      <c r="D277" t="s">
        <v>30</v>
      </c>
      <c r="E277" t="s">
        <v>56</v>
      </c>
      <c r="F277">
        <v>2628</v>
      </c>
      <c r="G277">
        <v>1936.02</v>
      </c>
      <c r="H277">
        <v>10</v>
      </c>
      <c r="I277">
        <v>0.14000000000000001</v>
      </c>
      <c r="J277">
        <v>26280</v>
      </c>
      <c r="K277">
        <v>3679.2000000000003</v>
      </c>
      <c r="L277">
        <v>3240.599999999999</v>
      </c>
      <c r="M277">
        <v>12.331050228310499</v>
      </c>
    </row>
    <row r="278" spans="1:13" x14ac:dyDescent="0.3">
      <c r="A278" t="s">
        <v>276</v>
      </c>
      <c r="B278" t="s">
        <v>277</v>
      </c>
      <c r="C278" t="s">
        <v>29</v>
      </c>
      <c r="D278" t="s">
        <v>30</v>
      </c>
      <c r="E278" t="s">
        <v>59</v>
      </c>
      <c r="F278">
        <v>3942</v>
      </c>
      <c r="G278">
        <v>2369.6</v>
      </c>
      <c r="H278">
        <v>1</v>
      </c>
      <c r="I278">
        <v>0.09</v>
      </c>
      <c r="J278">
        <v>3942</v>
      </c>
      <c r="K278">
        <v>354.78</v>
      </c>
      <c r="L278">
        <v>1217.6200000000001</v>
      </c>
      <c r="M278">
        <v>30.888381532217153</v>
      </c>
    </row>
    <row r="279" spans="1:13" x14ac:dyDescent="0.3">
      <c r="A279" t="s">
        <v>287</v>
      </c>
      <c r="B279" t="s">
        <v>110</v>
      </c>
      <c r="C279" t="s">
        <v>29</v>
      </c>
      <c r="D279" t="s">
        <v>30</v>
      </c>
      <c r="E279" t="s">
        <v>56</v>
      </c>
      <c r="F279">
        <v>2425</v>
      </c>
      <c r="G279">
        <v>1431.21</v>
      </c>
      <c r="H279">
        <v>10</v>
      </c>
      <c r="I279">
        <v>0.13</v>
      </c>
      <c r="J279">
        <v>24250</v>
      </c>
      <c r="K279">
        <v>3152.5</v>
      </c>
      <c r="L279">
        <v>6785.4</v>
      </c>
      <c r="M279">
        <v>27.98103092783505</v>
      </c>
    </row>
    <row r="280" spans="1:13" x14ac:dyDescent="0.3">
      <c r="A280" t="s">
        <v>296</v>
      </c>
      <c r="B280" t="s">
        <v>297</v>
      </c>
      <c r="C280" t="s">
        <v>20</v>
      </c>
      <c r="D280" t="s">
        <v>30</v>
      </c>
      <c r="E280" t="s">
        <v>56</v>
      </c>
      <c r="F280">
        <v>2248</v>
      </c>
      <c r="G280">
        <v>1625.51</v>
      </c>
      <c r="H280">
        <v>1</v>
      </c>
      <c r="I280">
        <v>0.01</v>
      </c>
      <c r="J280">
        <v>2248</v>
      </c>
      <c r="K280">
        <v>22.48</v>
      </c>
      <c r="L280">
        <v>600.01</v>
      </c>
      <c r="M280">
        <v>26.690836298932386</v>
      </c>
    </row>
    <row r="281" spans="1:13" x14ac:dyDescent="0.3">
      <c r="A281" t="s">
        <v>298</v>
      </c>
      <c r="B281" t="s">
        <v>299</v>
      </c>
      <c r="C281" t="s">
        <v>25</v>
      </c>
      <c r="D281" t="s">
        <v>30</v>
      </c>
      <c r="E281" t="s">
        <v>31</v>
      </c>
      <c r="F281">
        <v>3840</v>
      </c>
      <c r="G281">
        <v>2557.5100000000002</v>
      </c>
      <c r="H281">
        <v>10</v>
      </c>
      <c r="I281">
        <v>0.33</v>
      </c>
      <c r="J281">
        <v>38400</v>
      </c>
      <c r="K281">
        <v>12672</v>
      </c>
      <c r="L281">
        <v>152.89999999999782</v>
      </c>
      <c r="M281">
        <v>0.39817708333332763</v>
      </c>
    </row>
    <row r="282" spans="1:13" x14ac:dyDescent="0.3">
      <c r="A282" t="s">
        <v>300</v>
      </c>
      <c r="B282" t="s">
        <v>301</v>
      </c>
      <c r="C282" t="s">
        <v>15</v>
      </c>
      <c r="D282" t="s">
        <v>30</v>
      </c>
      <c r="E282" t="s">
        <v>34</v>
      </c>
      <c r="F282">
        <v>1536</v>
      </c>
      <c r="G282">
        <v>1107.46</v>
      </c>
      <c r="H282">
        <v>4</v>
      </c>
      <c r="I282">
        <v>0.01</v>
      </c>
      <c r="J282">
        <v>6144</v>
      </c>
      <c r="K282">
        <v>61.44</v>
      </c>
      <c r="L282">
        <v>1652.7199999999998</v>
      </c>
      <c r="M282">
        <v>26.899739583333332</v>
      </c>
    </row>
    <row r="283" spans="1:13" x14ac:dyDescent="0.3">
      <c r="A283" t="s">
        <v>302</v>
      </c>
      <c r="B283" t="s">
        <v>303</v>
      </c>
      <c r="C283" t="s">
        <v>20</v>
      </c>
      <c r="D283" t="s">
        <v>30</v>
      </c>
      <c r="E283" t="s">
        <v>31</v>
      </c>
      <c r="F283">
        <v>2361</v>
      </c>
      <c r="G283">
        <v>1802.63</v>
      </c>
      <c r="H283">
        <v>9</v>
      </c>
      <c r="I283">
        <v>0.06</v>
      </c>
      <c r="J283">
        <v>21249</v>
      </c>
      <c r="K283">
        <v>1274.94</v>
      </c>
      <c r="L283">
        <v>3750.3899999999981</v>
      </c>
      <c r="M283">
        <v>17.649724692926718</v>
      </c>
    </row>
    <row r="284" spans="1:13" x14ac:dyDescent="0.3">
      <c r="A284" t="s">
        <v>308</v>
      </c>
      <c r="B284" t="s">
        <v>253</v>
      </c>
      <c r="C284" t="s">
        <v>20</v>
      </c>
      <c r="D284" t="s">
        <v>30</v>
      </c>
      <c r="E284" t="s">
        <v>31</v>
      </c>
      <c r="F284">
        <v>2494</v>
      </c>
      <c r="G284">
        <v>2115.25</v>
      </c>
      <c r="H284">
        <v>8</v>
      </c>
      <c r="I284">
        <v>0.21</v>
      </c>
      <c r="J284">
        <v>19952</v>
      </c>
      <c r="K284">
        <v>4189.92</v>
      </c>
      <c r="L284">
        <v>-1159.92</v>
      </c>
      <c r="M284">
        <v>-5.8135525260625505</v>
      </c>
    </row>
    <row r="285" spans="1:13" x14ac:dyDescent="0.3">
      <c r="A285" t="s">
        <v>310</v>
      </c>
      <c r="B285" t="s">
        <v>311</v>
      </c>
      <c r="C285" t="s">
        <v>15</v>
      </c>
      <c r="D285" t="s">
        <v>30</v>
      </c>
      <c r="E285" t="s">
        <v>31</v>
      </c>
      <c r="F285">
        <v>1931</v>
      </c>
      <c r="G285">
        <v>1318.13</v>
      </c>
      <c r="H285">
        <v>4</v>
      </c>
      <c r="I285">
        <v>0.2</v>
      </c>
      <c r="J285">
        <v>7724</v>
      </c>
      <c r="K285">
        <v>1544.8000000000002</v>
      </c>
      <c r="L285">
        <v>906.67999999999938</v>
      </c>
      <c r="M285">
        <v>11.738477472812006</v>
      </c>
    </row>
    <row r="286" spans="1:13" x14ac:dyDescent="0.3">
      <c r="A286" t="s">
        <v>312</v>
      </c>
      <c r="B286" t="s">
        <v>313</v>
      </c>
      <c r="C286" t="s">
        <v>15</v>
      </c>
      <c r="D286" t="s">
        <v>30</v>
      </c>
      <c r="E286" t="s">
        <v>56</v>
      </c>
      <c r="F286">
        <v>2595</v>
      </c>
      <c r="G286">
        <v>2135.44</v>
      </c>
      <c r="H286">
        <v>1</v>
      </c>
      <c r="I286">
        <v>0.18</v>
      </c>
      <c r="J286">
        <v>2595</v>
      </c>
      <c r="K286">
        <v>467.09999999999997</v>
      </c>
      <c r="L286">
        <v>-7.5400000000000205</v>
      </c>
      <c r="M286">
        <v>-0.29055876685934567</v>
      </c>
    </row>
    <row r="287" spans="1:13" x14ac:dyDescent="0.3">
      <c r="A287" t="s">
        <v>320</v>
      </c>
      <c r="B287" t="s">
        <v>321</v>
      </c>
      <c r="C287" t="s">
        <v>20</v>
      </c>
      <c r="D287" t="s">
        <v>30</v>
      </c>
      <c r="E287" t="s">
        <v>31</v>
      </c>
      <c r="F287">
        <v>3011</v>
      </c>
      <c r="G287">
        <v>2103.5700000000002</v>
      </c>
      <c r="H287">
        <v>10</v>
      </c>
      <c r="I287">
        <v>0.14000000000000001</v>
      </c>
      <c r="J287">
        <v>30110</v>
      </c>
      <c r="K287">
        <v>4215.4000000000005</v>
      </c>
      <c r="L287">
        <v>4858.8999999999987</v>
      </c>
      <c r="M287">
        <v>16.137163732979072</v>
      </c>
    </row>
    <row r="288" spans="1:13" x14ac:dyDescent="0.3">
      <c r="A288" t="s">
        <v>322</v>
      </c>
      <c r="B288" t="s">
        <v>323</v>
      </c>
      <c r="C288" t="s">
        <v>25</v>
      </c>
      <c r="D288" t="s">
        <v>30</v>
      </c>
      <c r="E288" t="s">
        <v>31</v>
      </c>
      <c r="F288">
        <v>2522</v>
      </c>
      <c r="G288">
        <v>1490.1</v>
      </c>
      <c r="H288">
        <v>5</v>
      </c>
      <c r="I288">
        <v>0.35</v>
      </c>
      <c r="J288">
        <v>12610</v>
      </c>
      <c r="K288">
        <v>4413.5</v>
      </c>
      <c r="L288">
        <v>746</v>
      </c>
      <c r="M288">
        <v>5.9159397303727195</v>
      </c>
    </row>
    <row r="289" spans="1:13" x14ac:dyDescent="0.3">
      <c r="A289" t="s">
        <v>330</v>
      </c>
      <c r="B289" t="s">
        <v>331</v>
      </c>
      <c r="C289" t="s">
        <v>29</v>
      </c>
      <c r="D289" t="s">
        <v>30</v>
      </c>
      <c r="E289" t="s">
        <v>56</v>
      </c>
      <c r="F289">
        <v>1637</v>
      </c>
      <c r="G289">
        <v>1306.17</v>
      </c>
      <c r="H289">
        <v>9</v>
      </c>
      <c r="I289">
        <v>0.1</v>
      </c>
      <c r="J289">
        <v>14733</v>
      </c>
      <c r="K289">
        <v>1473.3000000000002</v>
      </c>
      <c r="L289">
        <v>1504.1699999999992</v>
      </c>
      <c r="M289">
        <v>10.209529627367129</v>
      </c>
    </row>
    <row r="290" spans="1:13" x14ac:dyDescent="0.3">
      <c r="A290" t="s">
        <v>332</v>
      </c>
      <c r="B290" t="s">
        <v>333</v>
      </c>
      <c r="C290" t="s">
        <v>25</v>
      </c>
      <c r="D290" t="s">
        <v>30</v>
      </c>
      <c r="E290" t="s">
        <v>56</v>
      </c>
      <c r="F290">
        <v>3683</v>
      </c>
      <c r="G290">
        <v>2945.99</v>
      </c>
      <c r="H290">
        <v>5</v>
      </c>
      <c r="I290">
        <v>0.38</v>
      </c>
      <c r="J290">
        <v>18415</v>
      </c>
      <c r="K290">
        <v>6997.7</v>
      </c>
      <c r="L290">
        <v>-3312.6499999999987</v>
      </c>
      <c r="M290">
        <v>-17.988867770838983</v>
      </c>
    </row>
    <row r="291" spans="1:13" x14ac:dyDescent="0.3">
      <c r="A291" t="s">
        <v>336</v>
      </c>
      <c r="B291" t="s">
        <v>337</v>
      </c>
      <c r="C291" t="s">
        <v>25</v>
      </c>
      <c r="D291" t="s">
        <v>30</v>
      </c>
      <c r="E291" t="s">
        <v>31</v>
      </c>
      <c r="F291">
        <v>1903</v>
      </c>
      <c r="G291">
        <v>1329</v>
      </c>
      <c r="H291">
        <v>8</v>
      </c>
      <c r="I291">
        <v>0.28999999999999998</v>
      </c>
      <c r="J291">
        <v>15224</v>
      </c>
      <c r="K291">
        <v>4414.96</v>
      </c>
      <c r="L291">
        <v>177.03999999999996</v>
      </c>
      <c r="M291">
        <v>1.1629006831318967</v>
      </c>
    </row>
    <row r="292" spans="1:13" x14ac:dyDescent="0.3">
      <c r="A292" t="s">
        <v>341</v>
      </c>
      <c r="B292" t="s">
        <v>342</v>
      </c>
      <c r="C292" t="s">
        <v>20</v>
      </c>
      <c r="D292" t="s">
        <v>30</v>
      </c>
      <c r="E292" t="s">
        <v>59</v>
      </c>
      <c r="F292">
        <v>3298</v>
      </c>
      <c r="G292">
        <v>2001.38</v>
      </c>
      <c r="H292">
        <v>6</v>
      </c>
      <c r="I292">
        <v>0.01</v>
      </c>
      <c r="J292">
        <v>19788</v>
      </c>
      <c r="K292">
        <v>197.88</v>
      </c>
      <c r="L292">
        <v>7581.8399999999992</v>
      </c>
      <c r="M292">
        <v>38.315342631898112</v>
      </c>
    </row>
    <row r="293" spans="1:13" x14ac:dyDescent="0.3">
      <c r="A293" t="s">
        <v>346</v>
      </c>
      <c r="B293" t="s">
        <v>323</v>
      </c>
      <c r="C293" t="s">
        <v>20</v>
      </c>
      <c r="D293" t="s">
        <v>30</v>
      </c>
      <c r="E293" t="s">
        <v>31</v>
      </c>
      <c r="F293">
        <v>3598</v>
      </c>
      <c r="G293">
        <v>2600.21</v>
      </c>
      <c r="H293">
        <v>8</v>
      </c>
      <c r="I293">
        <v>0.22</v>
      </c>
      <c r="J293">
        <v>28784</v>
      </c>
      <c r="K293">
        <v>6332.4800000000005</v>
      </c>
      <c r="L293">
        <v>1649.8399999999992</v>
      </c>
      <c r="M293">
        <v>5.7317954419121708</v>
      </c>
    </row>
    <row r="294" spans="1:13" x14ac:dyDescent="0.3">
      <c r="A294" t="s">
        <v>347</v>
      </c>
      <c r="B294" t="s">
        <v>207</v>
      </c>
      <c r="C294" t="s">
        <v>25</v>
      </c>
      <c r="D294" t="s">
        <v>30</v>
      </c>
      <c r="E294" t="s">
        <v>31</v>
      </c>
      <c r="F294">
        <v>1690</v>
      </c>
      <c r="G294">
        <v>1237.99</v>
      </c>
      <c r="H294">
        <v>4</v>
      </c>
      <c r="I294">
        <v>0.22</v>
      </c>
      <c r="J294">
        <v>6760</v>
      </c>
      <c r="K294">
        <v>1487.2</v>
      </c>
      <c r="L294">
        <v>320.83999999999992</v>
      </c>
      <c r="M294">
        <v>4.7461538461538453</v>
      </c>
    </row>
    <row r="295" spans="1:13" x14ac:dyDescent="0.3">
      <c r="A295" t="s">
        <v>354</v>
      </c>
      <c r="B295" t="s">
        <v>215</v>
      </c>
      <c r="C295" t="s">
        <v>15</v>
      </c>
      <c r="D295" t="s">
        <v>30</v>
      </c>
      <c r="E295" t="s">
        <v>59</v>
      </c>
      <c r="F295">
        <v>1606</v>
      </c>
      <c r="G295">
        <v>1063.6199999999999</v>
      </c>
      <c r="H295">
        <v>5</v>
      </c>
      <c r="I295">
        <v>0.1</v>
      </c>
      <c r="J295">
        <v>8030</v>
      </c>
      <c r="K295">
        <v>803</v>
      </c>
      <c r="L295">
        <v>1908.9000000000005</v>
      </c>
      <c r="M295">
        <v>23.772104607721054</v>
      </c>
    </row>
    <row r="296" spans="1:13" x14ac:dyDescent="0.3">
      <c r="A296" t="s">
        <v>355</v>
      </c>
      <c r="B296" t="s">
        <v>356</v>
      </c>
      <c r="C296" t="s">
        <v>15</v>
      </c>
      <c r="D296" t="s">
        <v>30</v>
      </c>
      <c r="E296" t="s">
        <v>31</v>
      </c>
      <c r="F296">
        <v>3372</v>
      </c>
      <c r="G296">
        <v>2600.9699999999998</v>
      </c>
      <c r="H296">
        <v>10</v>
      </c>
      <c r="I296">
        <v>0.23</v>
      </c>
      <c r="J296">
        <v>33720</v>
      </c>
      <c r="K296">
        <v>7755.6</v>
      </c>
      <c r="L296">
        <v>-45.299999999997453</v>
      </c>
      <c r="M296">
        <v>-0.13434163701066859</v>
      </c>
    </row>
    <row r="297" spans="1:13" x14ac:dyDescent="0.3">
      <c r="A297" t="s">
        <v>357</v>
      </c>
      <c r="B297" t="s">
        <v>70</v>
      </c>
      <c r="C297" t="s">
        <v>20</v>
      </c>
      <c r="D297" t="s">
        <v>30</v>
      </c>
      <c r="E297" t="s">
        <v>34</v>
      </c>
      <c r="F297">
        <v>1937</v>
      </c>
      <c r="G297">
        <v>1379.23</v>
      </c>
      <c r="H297">
        <v>5</v>
      </c>
      <c r="I297">
        <v>0.11</v>
      </c>
      <c r="J297">
        <v>9685</v>
      </c>
      <c r="K297">
        <v>1065.3499999999999</v>
      </c>
      <c r="L297">
        <v>1723.5000000000005</v>
      </c>
      <c r="M297">
        <v>17.795560144553438</v>
      </c>
    </row>
    <row r="298" spans="1:13" x14ac:dyDescent="0.3">
      <c r="A298" t="s">
        <v>362</v>
      </c>
      <c r="B298" t="s">
        <v>95</v>
      </c>
      <c r="C298" t="s">
        <v>20</v>
      </c>
      <c r="D298" t="s">
        <v>30</v>
      </c>
      <c r="E298" t="s">
        <v>34</v>
      </c>
      <c r="F298">
        <v>1631</v>
      </c>
      <c r="G298">
        <v>1307.7</v>
      </c>
      <c r="H298">
        <v>5</v>
      </c>
      <c r="I298">
        <v>0.1</v>
      </c>
      <c r="J298">
        <v>8155</v>
      </c>
      <c r="K298">
        <v>815.5</v>
      </c>
      <c r="L298">
        <v>801</v>
      </c>
      <c r="M298">
        <v>9.8221949724095641</v>
      </c>
    </row>
    <row r="299" spans="1:13" x14ac:dyDescent="0.3">
      <c r="A299" t="s">
        <v>368</v>
      </c>
      <c r="B299" t="s">
        <v>369</v>
      </c>
      <c r="C299" t="s">
        <v>25</v>
      </c>
      <c r="D299" t="s">
        <v>30</v>
      </c>
      <c r="E299" t="s">
        <v>56</v>
      </c>
      <c r="F299">
        <v>3338</v>
      </c>
      <c r="G299">
        <v>2193.3000000000002</v>
      </c>
      <c r="H299">
        <v>10</v>
      </c>
      <c r="I299">
        <v>0.24</v>
      </c>
      <c r="J299">
        <v>33380</v>
      </c>
      <c r="K299">
        <v>8011.2</v>
      </c>
      <c r="L299">
        <v>3435.8</v>
      </c>
      <c r="M299">
        <v>10.292989814260038</v>
      </c>
    </row>
    <row r="300" spans="1:13" x14ac:dyDescent="0.3">
      <c r="A300" t="s">
        <v>370</v>
      </c>
      <c r="B300" t="s">
        <v>371</v>
      </c>
      <c r="C300" t="s">
        <v>15</v>
      </c>
      <c r="D300" t="s">
        <v>30</v>
      </c>
      <c r="E300" t="s">
        <v>59</v>
      </c>
      <c r="F300">
        <v>2186</v>
      </c>
      <c r="G300">
        <v>1501.66</v>
      </c>
      <c r="H300">
        <v>8</v>
      </c>
      <c r="I300">
        <v>0.01</v>
      </c>
      <c r="J300">
        <v>17488</v>
      </c>
      <c r="K300">
        <v>174.88</v>
      </c>
      <c r="L300">
        <v>5299.8399999999992</v>
      </c>
      <c r="M300">
        <v>30.305580969807867</v>
      </c>
    </row>
    <row r="301" spans="1:13" x14ac:dyDescent="0.3">
      <c r="A301" t="s">
        <v>374</v>
      </c>
      <c r="B301" t="s">
        <v>375</v>
      </c>
      <c r="C301" t="s">
        <v>29</v>
      </c>
      <c r="D301" t="s">
        <v>30</v>
      </c>
      <c r="E301" t="s">
        <v>34</v>
      </c>
      <c r="F301">
        <v>3750</v>
      </c>
      <c r="G301">
        <v>2367.13</v>
      </c>
      <c r="H301">
        <v>1</v>
      </c>
      <c r="I301">
        <v>0.12</v>
      </c>
      <c r="J301">
        <v>3750</v>
      </c>
      <c r="K301">
        <v>450</v>
      </c>
      <c r="L301">
        <v>932.86999999999989</v>
      </c>
      <c r="M301">
        <v>24.876533333333331</v>
      </c>
    </row>
    <row r="302" spans="1:13" x14ac:dyDescent="0.3">
      <c r="A302" t="s">
        <v>376</v>
      </c>
      <c r="B302" t="s">
        <v>377</v>
      </c>
      <c r="C302" t="s">
        <v>25</v>
      </c>
      <c r="D302" t="s">
        <v>30</v>
      </c>
      <c r="E302" t="s">
        <v>59</v>
      </c>
      <c r="F302">
        <v>3456</v>
      </c>
      <c r="G302">
        <v>2246.59</v>
      </c>
      <c r="H302">
        <v>6</v>
      </c>
      <c r="I302">
        <v>0.4</v>
      </c>
      <c r="J302">
        <v>20736</v>
      </c>
      <c r="K302">
        <v>8294.4</v>
      </c>
      <c r="L302">
        <v>-1037.9400000000005</v>
      </c>
      <c r="M302">
        <v>-5.0054976851851878</v>
      </c>
    </row>
    <row r="303" spans="1:13" x14ac:dyDescent="0.3">
      <c r="A303" t="s">
        <v>389</v>
      </c>
      <c r="B303" t="s">
        <v>390</v>
      </c>
      <c r="C303" t="s">
        <v>25</v>
      </c>
      <c r="D303" t="s">
        <v>30</v>
      </c>
      <c r="E303" t="s">
        <v>59</v>
      </c>
      <c r="F303">
        <v>2018</v>
      </c>
      <c r="G303">
        <v>1130.4000000000001</v>
      </c>
      <c r="H303">
        <v>8</v>
      </c>
      <c r="I303">
        <v>0.36</v>
      </c>
      <c r="J303">
        <v>16144</v>
      </c>
      <c r="K303">
        <v>5811.84</v>
      </c>
      <c r="L303">
        <v>1288.9599999999991</v>
      </c>
      <c r="M303">
        <v>7.9841427155599556</v>
      </c>
    </row>
    <row r="304" spans="1:13" x14ac:dyDescent="0.3">
      <c r="A304" t="s">
        <v>391</v>
      </c>
      <c r="B304" t="s">
        <v>392</v>
      </c>
      <c r="C304" t="s">
        <v>15</v>
      </c>
      <c r="D304" t="s">
        <v>30</v>
      </c>
      <c r="E304" t="s">
        <v>59</v>
      </c>
      <c r="F304">
        <v>2628</v>
      </c>
      <c r="G304">
        <v>1554.5</v>
      </c>
      <c r="H304">
        <v>10</v>
      </c>
      <c r="I304">
        <v>0.04</v>
      </c>
      <c r="J304">
        <v>26280</v>
      </c>
      <c r="K304">
        <v>1051.2</v>
      </c>
      <c r="L304">
        <v>9683.7999999999993</v>
      </c>
      <c r="M304">
        <v>36.848554033485534</v>
      </c>
    </row>
    <row r="305" spans="1:13" x14ac:dyDescent="0.3">
      <c r="A305" t="s">
        <v>395</v>
      </c>
      <c r="B305" t="s">
        <v>251</v>
      </c>
      <c r="C305" t="s">
        <v>25</v>
      </c>
      <c r="D305" t="s">
        <v>30</v>
      </c>
      <c r="E305" t="s">
        <v>59</v>
      </c>
      <c r="F305">
        <v>2073</v>
      </c>
      <c r="G305">
        <v>1730.21</v>
      </c>
      <c r="H305">
        <v>8</v>
      </c>
      <c r="I305">
        <v>0.3</v>
      </c>
      <c r="J305">
        <v>16584</v>
      </c>
      <c r="K305">
        <v>4975.2</v>
      </c>
      <c r="L305">
        <v>-2232.88</v>
      </c>
      <c r="M305">
        <v>-13.464061746261457</v>
      </c>
    </row>
    <row r="306" spans="1:13" x14ac:dyDescent="0.3">
      <c r="A306" t="s">
        <v>397</v>
      </c>
      <c r="B306" t="s">
        <v>398</v>
      </c>
      <c r="C306" t="s">
        <v>20</v>
      </c>
      <c r="D306" t="s">
        <v>30</v>
      </c>
      <c r="E306" t="s">
        <v>59</v>
      </c>
      <c r="F306">
        <v>1560</v>
      </c>
      <c r="G306">
        <v>925.23</v>
      </c>
      <c r="H306">
        <v>7</v>
      </c>
      <c r="I306">
        <v>0.04</v>
      </c>
      <c r="J306">
        <v>10920</v>
      </c>
      <c r="K306">
        <v>436.8</v>
      </c>
      <c r="L306">
        <v>4006.5899999999992</v>
      </c>
      <c r="M306">
        <v>36.690384615384609</v>
      </c>
    </row>
    <row r="307" spans="1:13" x14ac:dyDescent="0.3">
      <c r="A307" t="s">
        <v>409</v>
      </c>
      <c r="B307" t="s">
        <v>410</v>
      </c>
      <c r="C307" t="s">
        <v>20</v>
      </c>
      <c r="D307" t="s">
        <v>30</v>
      </c>
      <c r="E307" t="s">
        <v>59</v>
      </c>
      <c r="F307">
        <v>3841</v>
      </c>
      <c r="G307">
        <v>3223.06</v>
      </c>
      <c r="H307">
        <v>10</v>
      </c>
      <c r="I307">
        <v>0.19</v>
      </c>
      <c r="J307">
        <v>38410</v>
      </c>
      <c r="K307">
        <v>7297.9</v>
      </c>
      <c r="L307">
        <v>-1118.4999999999982</v>
      </c>
      <c r="M307">
        <v>-2.9120020827909352</v>
      </c>
    </row>
    <row r="308" spans="1:13" x14ac:dyDescent="0.3">
      <c r="A308" t="s">
        <v>413</v>
      </c>
      <c r="B308" t="s">
        <v>414</v>
      </c>
      <c r="C308" t="s">
        <v>25</v>
      </c>
      <c r="D308" t="s">
        <v>30</v>
      </c>
      <c r="E308" t="s">
        <v>59</v>
      </c>
      <c r="F308">
        <v>1536</v>
      </c>
      <c r="G308">
        <v>1003.09</v>
      </c>
      <c r="H308">
        <v>3</v>
      </c>
      <c r="I308">
        <v>0.31</v>
      </c>
      <c r="J308">
        <v>4608</v>
      </c>
      <c r="K308">
        <v>1428.48</v>
      </c>
      <c r="L308">
        <v>170.25</v>
      </c>
      <c r="M308">
        <v>3.6946614583333335</v>
      </c>
    </row>
    <row r="309" spans="1:13" x14ac:dyDescent="0.3">
      <c r="A309" t="s">
        <v>418</v>
      </c>
      <c r="B309" t="s">
        <v>419</v>
      </c>
      <c r="C309" t="s">
        <v>29</v>
      </c>
      <c r="D309" t="s">
        <v>30</v>
      </c>
      <c r="E309" t="s">
        <v>56</v>
      </c>
      <c r="F309">
        <v>2959</v>
      </c>
      <c r="G309">
        <v>2151.7600000000002</v>
      </c>
      <c r="H309">
        <v>3</v>
      </c>
      <c r="I309">
        <v>0.05</v>
      </c>
      <c r="J309">
        <v>8877</v>
      </c>
      <c r="K309">
        <v>443.85</v>
      </c>
      <c r="L309">
        <v>1977.8699999999994</v>
      </c>
      <c r="M309">
        <v>22.280838120986811</v>
      </c>
    </row>
    <row r="310" spans="1:13" x14ac:dyDescent="0.3">
      <c r="A310" t="s">
        <v>420</v>
      </c>
      <c r="B310" t="s">
        <v>421</v>
      </c>
      <c r="C310" t="s">
        <v>20</v>
      </c>
      <c r="D310" t="s">
        <v>30</v>
      </c>
      <c r="E310" t="s">
        <v>56</v>
      </c>
      <c r="F310">
        <v>3205</v>
      </c>
      <c r="G310">
        <v>2558.52</v>
      </c>
      <c r="H310">
        <v>3</v>
      </c>
      <c r="I310">
        <v>7.0000000000000007E-2</v>
      </c>
      <c r="J310">
        <v>9615</v>
      </c>
      <c r="K310">
        <v>673.05000000000007</v>
      </c>
      <c r="L310">
        <v>1266.3900000000003</v>
      </c>
      <c r="M310">
        <v>13.170982839313575</v>
      </c>
    </row>
    <row r="311" spans="1:13" x14ac:dyDescent="0.3">
      <c r="A311" t="s">
        <v>434</v>
      </c>
      <c r="B311" t="s">
        <v>435</v>
      </c>
      <c r="C311" t="s">
        <v>25</v>
      </c>
      <c r="D311" t="s">
        <v>30</v>
      </c>
      <c r="E311" t="s">
        <v>31</v>
      </c>
      <c r="F311">
        <v>3802</v>
      </c>
      <c r="G311">
        <v>2647.54</v>
      </c>
      <c r="H311">
        <v>9</v>
      </c>
      <c r="I311">
        <v>0.32</v>
      </c>
      <c r="J311">
        <v>34218</v>
      </c>
      <c r="K311">
        <v>10949.76</v>
      </c>
      <c r="L311">
        <v>-559.6200000000008</v>
      </c>
      <c r="M311">
        <v>-1.635455023671754</v>
      </c>
    </row>
    <row r="312" spans="1:13" x14ac:dyDescent="0.3">
      <c r="A312" t="s">
        <v>436</v>
      </c>
      <c r="B312" t="s">
        <v>228</v>
      </c>
      <c r="C312" t="s">
        <v>15</v>
      </c>
      <c r="D312" t="s">
        <v>30</v>
      </c>
      <c r="E312" t="s">
        <v>59</v>
      </c>
      <c r="F312">
        <v>1526</v>
      </c>
      <c r="G312">
        <v>1295.73</v>
      </c>
      <c r="H312">
        <v>9</v>
      </c>
      <c r="I312">
        <v>0.03</v>
      </c>
      <c r="J312">
        <v>13734</v>
      </c>
      <c r="K312">
        <v>412.02</v>
      </c>
      <c r="L312">
        <v>1660.4100000000003</v>
      </c>
      <c r="M312">
        <v>12.089777195281785</v>
      </c>
    </row>
    <row r="313" spans="1:13" x14ac:dyDescent="0.3">
      <c r="A313" t="s">
        <v>441</v>
      </c>
      <c r="B313" t="s">
        <v>442</v>
      </c>
      <c r="C313" t="s">
        <v>25</v>
      </c>
      <c r="D313" t="s">
        <v>30</v>
      </c>
      <c r="E313" t="s">
        <v>34</v>
      </c>
      <c r="F313">
        <v>3444</v>
      </c>
      <c r="G313">
        <v>2686.21</v>
      </c>
      <c r="H313">
        <v>6</v>
      </c>
      <c r="I313">
        <v>0.34</v>
      </c>
      <c r="J313">
        <v>20664</v>
      </c>
      <c r="K313">
        <v>7025.76</v>
      </c>
      <c r="L313">
        <v>-2479.0200000000004</v>
      </c>
      <c r="M313">
        <v>-11.996806039488968</v>
      </c>
    </row>
    <row r="314" spans="1:13" x14ac:dyDescent="0.3">
      <c r="A314" t="s">
        <v>445</v>
      </c>
      <c r="B314" t="s">
        <v>446</v>
      </c>
      <c r="C314" t="s">
        <v>29</v>
      </c>
      <c r="D314" t="s">
        <v>30</v>
      </c>
      <c r="E314" t="s">
        <v>56</v>
      </c>
      <c r="F314">
        <v>2445</v>
      </c>
      <c r="G314">
        <v>1985.02</v>
      </c>
      <c r="H314">
        <v>2</v>
      </c>
      <c r="I314">
        <v>0.19</v>
      </c>
      <c r="J314">
        <v>4890</v>
      </c>
      <c r="K314">
        <v>929.1</v>
      </c>
      <c r="L314">
        <v>-9.1399999999999864</v>
      </c>
      <c r="M314">
        <v>-0.18691206543967254</v>
      </c>
    </row>
    <row r="315" spans="1:13" x14ac:dyDescent="0.3">
      <c r="A315" t="s">
        <v>447</v>
      </c>
      <c r="B315" t="s">
        <v>161</v>
      </c>
      <c r="C315" t="s">
        <v>20</v>
      </c>
      <c r="D315" t="s">
        <v>30</v>
      </c>
      <c r="E315" t="s">
        <v>34</v>
      </c>
      <c r="F315">
        <v>1599</v>
      </c>
      <c r="G315">
        <v>1189.17</v>
      </c>
      <c r="H315">
        <v>1</v>
      </c>
      <c r="I315">
        <v>0.15</v>
      </c>
      <c r="J315">
        <v>1599</v>
      </c>
      <c r="K315">
        <v>239.85</v>
      </c>
      <c r="L315">
        <v>169.97999999999993</v>
      </c>
      <c r="M315">
        <v>10.630393996247649</v>
      </c>
    </row>
    <row r="316" spans="1:13" x14ac:dyDescent="0.3">
      <c r="A316" t="s">
        <v>448</v>
      </c>
      <c r="B316" t="s">
        <v>449</v>
      </c>
      <c r="C316" t="s">
        <v>20</v>
      </c>
      <c r="D316" t="s">
        <v>30</v>
      </c>
      <c r="E316" t="s">
        <v>31</v>
      </c>
      <c r="F316">
        <v>3537</v>
      </c>
      <c r="G316">
        <v>2108.1999999999998</v>
      </c>
      <c r="H316">
        <v>4</v>
      </c>
      <c r="I316">
        <v>0</v>
      </c>
      <c r="J316">
        <v>14148</v>
      </c>
      <c r="K316">
        <v>0</v>
      </c>
      <c r="L316">
        <v>5715.2000000000007</v>
      </c>
      <c r="M316">
        <v>40.395815662991239</v>
      </c>
    </row>
    <row r="317" spans="1:13" x14ac:dyDescent="0.3">
      <c r="A317" t="s">
        <v>461</v>
      </c>
      <c r="B317" t="s">
        <v>333</v>
      </c>
      <c r="C317" t="s">
        <v>29</v>
      </c>
      <c r="D317" t="s">
        <v>30</v>
      </c>
      <c r="E317" t="s">
        <v>59</v>
      </c>
      <c r="F317">
        <v>3876</v>
      </c>
      <c r="G317">
        <v>2469.29</v>
      </c>
      <c r="H317">
        <v>8</v>
      </c>
      <c r="I317">
        <v>7.0000000000000007E-2</v>
      </c>
      <c r="J317">
        <v>31008</v>
      </c>
      <c r="K317">
        <v>2170.5600000000004</v>
      </c>
      <c r="L317">
        <v>9083.119999999999</v>
      </c>
      <c r="M317">
        <v>29.292827657378741</v>
      </c>
    </row>
    <row r="318" spans="1:13" x14ac:dyDescent="0.3">
      <c r="A318" t="s">
        <v>463</v>
      </c>
      <c r="B318" t="s">
        <v>464</v>
      </c>
      <c r="C318" t="s">
        <v>15</v>
      </c>
      <c r="D318" t="s">
        <v>30</v>
      </c>
      <c r="E318" t="s">
        <v>56</v>
      </c>
      <c r="F318">
        <v>2837</v>
      </c>
      <c r="G318">
        <v>2290.09</v>
      </c>
      <c r="H318">
        <v>9</v>
      </c>
      <c r="I318">
        <v>0.01</v>
      </c>
      <c r="J318">
        <v>25533</v>
      </c>
      <c r="K318">
        <v>255.33</v>
      </c>
      <c r="L318">
        <v>4666.8599999999988</v>
      </c>
      <c r="M318">
        <v>18.277758195276697</v>
      </c>
    </row>
    <row r="319" spans="1:13" x14ac:dyDescent="0.3">
      <c r="A319" t="s">
        <v>465</v>
      </c>
      <c r="B319" t="s">
        <v>337</v>
      </c>
      <c r="C319" t="s">
        <v>20</v>
      </c>
      <c r="D319" t="s">
        <v>30</v>
      </c>
      <c r="E319" t="s">
        <v>31</v>
      </c>
      <c r="F319">
        <v>3103</v>
      </c>
      <c r="G319">
        <v>2279.4499999999998</v>
      </c>
      <c r="H319">
        <v>2</v>
      </c>
      <c r="I319">
        <v>0.11</v>
      </c>
      <c r="J319">
        <v>6206</v>
      </c>
      <c r="K319">
        <v>682.66</v>
      </c>
      <c r="L319">
        <v>964.4400000000004</v>
      </c>
      <c r="M319">
        <v>15.54044473090558</v>
      </c>
    </row>
    <row r="320" spans="1:13" x14ac:dyDescent="0.3">
      <c r="A320" t="s">
        <v>466</v>
      </c>
      <c r="B320" t="s">
        <v>194</v>
      </c>
      <c r="C320" t="s">
        <v>20</v>
      </c>
      <c r="D320" t="s">
        <v>30</v>
      </c>
      <c r="E320" t="s">
        <v>34</v>
      </c>
      <c r="F320">
        <v>3162</v>
      </c>
      <c r="G320">
        <v>2420.7199999999998</v>
      </c>
      <c r="H320">
        <v>3</v>
      </c>
      <c r="I320">
        <v>0.1</v>
      </c>
      <c r="J320">
        <v>9486</v>
      </c>
      <c r="K320">
        <v>948.6</v>
      </c>
      <c r="L320">
        <v>1275.2400000000002</v>
      </c>
      <c r="M320">
        <v>13.44339025932954</v>
      </c>
    </row>
    <row r="321" spans="1:13" x14ac:dyDescent="0.3">
      <c r="A321" t="s">
        <v>472</v>
      </c>
      <c r="B321" t="s">
        <v>149</v>
      </c>
      <c r="C321" t="s">
        <v>29</v>
      </c>
      <c r="D321" t="s">
        <v>30</v>
      </c>
      <c r="E321" t="s">
        <v>59</v>
      </c>
      <c r="F321">
        <v>3652</v>
      </c>
      <c r="G321">
        <v>2039.63</v>
      </c>
      <c r="H321">
        <v>2</v>
      </c>
      <c r="I321">
        <v>0.14000000000000001</v>
      </c>
      <c r="J321">
        <v>7304</v>
      </c>
      <c r="K321">
        <v>1022.5600000000001</v>
      </c>
      <c r="L321">
        <v>2202.1799999999998</v>
      </c>
      <c r="M321">
        <v>30.150328587075574</v>
      </c>
    </row>
    <row r="322" spans="1:13" x14ac:dyDescent="0.3">
      <c r="A322" t="s">
        <v>473</v>
      </c>
      <c r="B322" t="s">
        <v>93</v>
      </c>
      <c r="C322" t="s">
        <v>29</v>
      </c>
      <c r="D322" t="s">
        <v>30</v>
      </c>
      <c r="E322" t="s">
        <v>31</v>
      </c>
      <c r="F322">
        <v>2324</v>
      </c>
      <c r="G322">
        <v>1616.36</v>
      </c>
      <c r="H322">
        <v>3</v>
      </c>
      <c r="I322">
        <v>0.06</v>
      </c>
      <c r="J322">
        <v>6972</v>
      </c>
      <c r="K322">
        <v>418.32</v>
      </c>
      <c r="L322">
        <v>1704.6000000000001</v>
      </c>
      <c r="M322">
        <v>24.44922547332186</v>
      </c>
    </row>
    <row r="323" spans="1:13" x14ac:dyDescent="0.3">
      <c r="A323" t="s">
        <v>479</v>
      </c>
      <c r="B323" t="s">
        <v>480</v>
      </c>
      <c r="C323" t="s">
        <v>20</v>
      </c>
      <c r="D323" t="s">
        <v>30</v>
      </c>
      <c r="E323" t="s">
        <v>56</v>
      </c>
      <c r="F323">
        <v>3971</v>
      </c>
      <c r="G323">
        <v>3325.11</v>
      </c>
      <c r="H323">
        <v>4</v>
      </c>
      <c r="I323">
        <v>0.1</v>
      </c>
      <c r="J323">
        <v>15884</v>
      </c>
      <c r="K323">
        <v>1588.4</v>
      </c>
      <c r="L323">
        <v>995.1599999999994</v>
      </c>
      <c r="M323">
        <v>6.2651725006295607</v>
      </c>
    </row>
    <row r="324" spans="1:13" x14ac:dyDescent="0.3">
      <c r="A324" t="s">
        <v>481</v>
      </c>
      <c r="B324" t="s">
        <v>292</v>
      </c>
      <c r="C324" t="s">
        <v>29</v>
      </c>
      <c r="D324" t="s">
        <v>30</v>
      </c>
      <c r="E324" t="s">
        <v>59</v>
      </c>
      <c r="F324">
        <v>2370</v>
      </c>
      <c r="G324">
        <v>1656.25</v>
      </c>
      <c r="H324">
        <v>3</v>
      </c>
      <c r="I324">
        <v>0.23</v>
      </c>
      <c r="J324">
        <v>7110</v>
      </c>
      <c r="K324">
        <v>1635.3000000000002</v>
      </c>
      <c r="L324">
        <v>505.94999999999982</v>
      </c>
      <c r="M324">
        <v>7.116033755274259</v>
      </c>
    </row>
    <row r="325" spans="1:13" x14ac:dyDescent="0.3">
      <c r="A325" t="s">
        <v>484</v>
      </c>
      <c r="B325" t="s">
        <v>485</v>
      </c>
      <c r="C325" t="s">
        <v>15</v>
      </c>
      <c r="D325" t="s">
        <v>30</v>
      </c>
      <c r="E325" t="s">
        <v>31</v>
      </c>
      <c r="F325">
        <v>3388</v>
      </c>
      <c r="G325">
        <v>2206.38</v>
      </c>
      <c r="H325">
        <v>3</v>
      </c>
      <c r="I325">
        <v>0.1</v>
      </c>
      <c r="J325">
        <v>10164</v>
      </c>
      <c r="K325">
        <v>1016.4000000000001</v>
      </c>
      <c r="L325">
        <v>2528.4599999999996</v>
      </c>
      <c r="M325">
        <v>24.876623376623371</v>
      </c>
    </row>
    <row r="326" spans="1:13" x14ac:dyDescent="0.3">
      <c r="A326" t="s">
        <v>488</v>
      </c>
      <c r="B326" t="s">
        <v>489</v>
      </c>
      <c r="C326" t="s">
        <v>15</v>
      </c>
      <c r="D326" t="s">
        <v>30</v>
      </c>
      <c r="E326" t="s">
        <v>31</v>
      </c>
      <c r="F326">
        <v>2499</v>
      </c>
      <c r="G326">
        <v>1677.87</v>
      </c>
      <c r="H326">
        <v>8</v>
      </c>
      <c r="I326">
        <v>0.21</v>
      </c>
      <c r="J326">
        <v>19992</v>
      </c>
      <c r="K326">
        <v>4198.32</v>
      </c>
      <c r="L326">
        <v>2370.7200000000012</v>
      </c>
      <c r="M326">
        <v>11.85834333733494</v>
      </c>
    </row>
    <row r="327" spans="1:13" x14ac:dyDescent="0.3">
      <c r="A327" t="s">
        <v>493</v>
      </c>
      <c r="B327" t="s">
        <v>494</v>
      </c>
      <c r="C327" t="s">
        <v>25</v>
      </c>
      <c r="D327" t="s">
        <v>30</v>
      </c>
      <c r="E327" t="s">
        <v>59</v>
      </c>
      <c r="F327">
        <v>1954</v>
      </c>
      <c r="G327">
        <v>1167.21</v>
      </c>
      <c r="H327">
        <v>6</v>
      </c>
      <c r="I327">
        <v>0.25</v>
      </c>
      <c r="J327">
        <v>11724</v>
      </c>
      <c r="K327">
        <v>2931</v>
      </c>
      <c r="L327">
        <v>1789.7399999999998</v>
      </c>
      <c r="M327">
        <v>15.265609007164787</v>
      </c>
    </row>
    <row r="328" spans="1:13" x14ac:dyDescent="0.3">
      <c r="A328" t="s">
        <v>499</v>
      </c>
      <c r="B328" t="s">
        <v>500</v>
      </c>
      <c r="C328" t="s">
        <v>15</v>
      </c>
      <c r="D328" t="s">
        <v>30</v>
      </c>
      <c r="E328" t="s">
        <v>56</v>
      </c>
      <c r="F328">
        <v>3330</v>
      </c>
      <c r="G328">
        <v>2788.01</v>
      </c>
      <c r="H328">
        <v>2</v>
      </c>
      <c r="I328">
        <v>0.17</v>
      </c>
      <c r="J328">
        <v>6660</v>
      </c>
      <c r="K328">
        <v>1132.2</v>
      </c>
      <c r="L328">
        <v>-48.220000000000482</v>
      </c>
      <c r="M328">
        <v>-0.72402402402403121</v>
      </c>
    </row>
    <row r="329" spans="1:13" x14ac:dyDescent="0.3">
      <c r="A329" t="s">
        <v>501</v>
      </c>
      <c r="B329" t="s">
        <v>356</v>
      </c>
      <c r="C329" t="s">
        <v>29</v>
      </c>
      <c r="D329" t="s">
        <v>30</v>
      </c>
      <c r="E329" t="s">
        <v>56</v>
      </c>
      <c r="F329">
        <v>1833</v>
      </c>
      <c r="G329">
        <v>1054.92</v>
      </c>
      <c r="H329">
        <v>6</v>
      </c>
      <c r="I329">
        <v>0.01</v>
      </c>
      <c r="J329">
        <v>10998</v>
      </c>
      <c r="K329">
        <v>109.98</v>
      </c>
      <c r="L329">
        <v>4558.5</v>
      </c>
      <c r="M329">
        <v>41.448445171849428</v>
      </c>
    </row>
    <row r="330" spans="1:13" x14ac:dyDescent="0.3">
      <c r="A330" t="s">
        <v>509</v>
      </c>
      <c r="B330" t="s">
        <v>159</v>
      </c>
      <c r="C330" t="s">
        <v>25</v>
      </c>
      <c r="D330" t="s">
        <v>30</v>
      </c>
      <c r="E330" t="s">
        <v>34</v>
      </c>
      <c r="F330">
        <v>3934</v>
      </c>
      <c r="G330">
        <v>2298.4699999999998</v>
      </c>
      <c r="H330">
        <v>5</v>
      </c>
      <c r="I330">
        <v>0.3</v>
      </c>
      <c r="J330">
        <v>19670</v>
      </c>
      <c r="K330">
        <v>5901</v>
      </c>
      <c r="L330">
        <v>2276.6500000000015</v>
      </c>
      <c r="M330">
        <v>11.574224707676672</v>
      </c>
    </row>
    <row r="331" spans="1:13" x14ac:dyDescent="0.3">
      <c r="A331" t="s">
        <v>510</v>
      </c>
      <c r="B331" t="s">
        <v>196</v>
      </c>
      <c r="C331" t="s">
        <v>20</v>
      </c>
      <c r="D331" t="s">
        <v>30</v>
      </c>
      <c r="E331" t="s">
        <v>56</v>
      </c>
      <c r="F331">
        <v>2752</v>
      </c>
      <c r="G331">
        <v>1940.6</v>
      </c>
      <c r="H331">
        <v>2</v>
      </c>
      <c r="I331">
        <v>0.04</v>
      </c>
      <c r="J331">
        <v>5504</v>
      </c>
      <c r="K331">
        <v>220.16</v>
      </c>
      <c r="L331">
        <v>1402.64</v>
      </c>
      <c r="M331">
        <v>25.484011627906977</v>
      </c>
    </row>
    <row r="332" spans="1:13" x14ac:dyDescent="0.3">
      <c r="A332" t="s">
        <v>511</v>
      </c>
      <c r="B332" t="s">
        <v>188</v>
      </c>
      <c r="C332" t="s">
        <v>15</v>
      </c>
      <c r="D332" t="s">
        <v>30</v>
      </c>
      <c r="E332" t="s">
        <v>34</v>
      </c>
      <c r="F332">
        <v>3769</v>
      </c>
      <c r="G332">
        <v>2611.5300000000002</v>
      </c>
      <c r="H332">
        <v>1</v>
      </c>
      <c r="I332">
        <v>0.01</v>
      </c>
      <c r="J332">
        <v>3769</v>
      </c>
      <c r="K332">
        <v>37.69</v>
      </c>
      <c r="L332">
        <v>1119.7799999999997</v>
      </c>
      <c r="M332">
        <v>29.710267975590337</v>
      </c>
    </row>
    <row r="333" spans="1:13" x14ac:dyDescent="0.3">
      <c r="A333" t="s">
        <v>519</v>
      </c>
      <c r="B333" t="s">
        <v>145</v>
      </c>
      <c r="C333" t="s">
        <v>20</v>
      </c>
      <c r="D333" t="s">
        <v>30</v>
      </c>
      <c r="E333" t="s">
        <v>59</v>
      </c>
      <c r="F333">
        <v>1548</v>
      </c>
      <c r="G333">
        <v>902.48</v>
      </c>
      <c r="H333">
        <v>10</v>
      </c>
      <c r="I333">
        <v>0.22</v>
      </c>
      <c r="J333">
        <v>15480</v>
      </c>
      <c r="K333">
        <v>3405.6</v>
      </c>
      <c r="L333">
        <v>3049.6000000000008</v>
      </c>
      <c r="M333">
        <v>19.700258397932821</v>
      </c>
    </row>
    <row r="334" spans="1:13" x14ac:dyDescent="0.3">
      <c r="A334" t="s">
        <v>528</v>
      </c>
      <c r="B334" t="s">
        <v>120</v>
      </c>
      <c r="C334" t="s">
        <v>25</v>
      </c>
      <c r="D334" t="s">
        <v>30</v>
      </c>
      <c r="E334" t="s">
        <v>56</v>
      </c>
      <c r="F334">
        <v>1844</v>
      </c>
      <c r="G334">
        <v>1519.74</v>
      </c>
      <c r="H334">
        <v>3</v>
      </c>
      <c r="I334">
        <v>0.21</v>
      </c>
      <c r="J334">
        <v>5532</v>
      </c>
      <c r="K334">
        <v>1161.72</v>
      </c>
      <c r="L334">
        <v>-188.94000000000028</v>
      </c>
      <c r="M334">
        <v>-3.4154013015184432</v>
      </c>
    </row>
    <row r="335" spans="1:13" x14ac:dyDescent="0.3">
      <c r="A335" t="s">
        <v>531</v>
      </c>
      <c r="B335" t="s">
        <v>532</v>
      </c>
      <c r="C335" t="s">
        <v>15</v>
      </c>
      <c r="D335" t="s">
        <v>30</v>
      </c>
      <c r="E335" t="s">
        <v>31</v>
      </c>
      <c r="F335">
        <v>3199</v>
      </c>
      <c r="G335">
        <v>2492.0100000000002</v>
      </c>
      <c r="H335">
        <v>1</v>
      </c>
      <c r="I335">
        <v>0.03</v>
      </c>
      <c r="J335">
        <v>3199</v>
      </c>
      <c r="K335">
        <v>95.97</v>
      </c>
      <c r="L335">
        <v>611.01999999999975</v>
      </c>
      <c r="M335">
        <v>19.100343857455449</v>
      </c>
    </row>
    <row r="336" spans="1:13" x14ac:dyDescent="0.3">
      <c r="A336" t="s">
        <v>538</v>
      </c>
      <c r="B336" t="s">
        <v>505</v>
      </c>
      <c r="C336" t="s">
        <v>29</v>
      </c>
      <c r="D336" t="s">
        <v>30</v>
      </c>
      <c r="E336" t="s">
        <v>56</v>
      </c>
      <c r="F336">
        <v>1962</v>
      </c>
      <c r="G336">
        <v>1311.96</v>
      </c>
      <c r="H336">
        <v>3</v>
      </c>
      <c r="I336">
        <v>0.06</v>
      </c>
      <c r="J336">
        <v>5886</v>
      </c>
      <c r="K336">
        <v>353.15999999999997</v>
      </c>
      <c r="L336">
        <v>1596.96</v>
      </c>
      <c r="M336">
        <v>27.131498470948014</v>
      </c>
    </row>
    <row r="337" spans="1:13" x14ac:dyDescent="0.3">
      <c r="A337" t="s">
        <v>541</v>
      </c>
      <c r="B337" t="s">
        <v>188</v>
      </c>
      <c r="C337" t="s">
        <v>25</v>
      </c>
      <c r="D337" t="s">
        <v>30</v>
      </c>
      <c r="E337" t="s">
        <v>56</v>
      </c>
      <c r="F337">
        <v>2896</v>
      </c>
      <c r="G337">
        <v>2211</v>
      </c>
      <c r="H337">
        <v>3</v>
      </c>
      <c r="I337">
        <v>0.23</v>
      </c>
      <c r="J337">
        <v>8688</v>
      </c>
      <c r="K337">
        <v>1998.24</v>
      </c>
      <c r="L337">
        <v>56.759999999999991</v>
      </c>
      <c r="M337">
        <v>0.65331491712707179</v>
      </c>
    </row>
    <row r="338" spans="1:13" x14ac:dyDescent="0.3">
      <c r="A338" t="s">
        <v>542</v>
      </c>
      <c r="B338" t="s">
        <v>313</v>
      </c>
      <c r="C338" t="s">
        <v>20</v>
      </c>
      <c r="D338" t="s">
        <v>30</v>
      </c>
      <c r="E338" t="s">
        <v>56</v>
      </c>
      <c r="F338">
        <v>1572</v>
      </c>
      <c r="G338">
        <v>1062.27</v>
      </c>
      <c r="H338">
        <v>4</v>
      </c>
      <c r="I338">
        <v>0.11</v>
      </c>
      <c r="J338">
        <v>6288</v>
      </c>
      <c r="K338">
        <v>691.68</v>
      </c>
      <c r="L338">
        <v>1347.2400000000002</v>
      </c>
      <c r="M338">
        <v>21.425572519083975</v>
      </c>
    </row>
    <row r="339" spans="1:13" x14ac:dyDescent="0.3">
      <c r="A339" t="s">
        <v>543</v>
      </c>
      <c r="B339" t="s">
        <v>544</v>
      </c>
      <c r="C339" t="s">
        <v>29</v>
      </c>
      <c r="D339" t="s">
        <v>30</v>
      </c>
      <c r="E339" t="s">
        <v>59</v>
      </c>
      <c r="F339">
        <v>3775</v>
      </c>
      <c r="G339">
        <v>2137.75</v>
      </c>
      <c r="H339">
        <v>3</v>
      </c>
      <c r="I339">
        <v>0.08</v>
      </c>
      <c r="J339">
        <v>11325</v>
      </c>
      <c r="K339">
        <v>906</v>
      </c>
      <c r="L339">
        <v>4005.75</v>
      </c>
      <c r="M339">
        <v>35.370860927152322</v>
      </c>
    </row>
    <row r="340" spans="1:13" x14ac:dyDescent="0.3">
      <c r="A340" t="s">
        <v>554</v>
      </c>
      <c r="B340" t="s">
        <v>555</v>
      </c>
      <c r="C340" t="s">
        <v>25</v>
      </c>
      <c r="D340" t="s">
        <v>30</v>
      </c>
      <c r="E340" t="s">
        <v>59</v>
      </c>
      <c r="F340">
        <v>3829</v>
      </c>
      <c r="G340">
        <v>3121.06</v>
      </c>
      <c r="H340">
        <v>1</v>
      </c>
      <c r="I340">
        <v>0.36</v>
      </c>
      <c r="J340">
        <v>3829</v>
      </c>
      <c r="K340">
        <v>1378.44</v>
      </c>
      <c r="L340">
        <v>-670.5</v>
      </c>
      <c r="M340">
        <v>-17.511099503786891</v>
      </c>
    </row>
    <row r="341" spans="1:13" x14ac:dyDescent="0.3">
      <c r="A341" t="s">
        <v>559</v>
      </c>
      <c r="B341" t="s">
        <v>552</v>
      </c>
      <c r="C341" t="s">
        <v>15</v>
      </c>
      <c r="D341" t="s">
        <v>30</v>
      </c>
      <c r="E341" t="s">
        <v>34</v>
      </c>
      <c r="F341">
        <v>2105</v>
      </c>
      <c r="G341">
        <v>1229.79</v>
      </c>
      <c r="H341">
        <v>8</v>
      </c>
      <c r="I341">
        <v>0.14000000000000001</v>
      </c>
      <c r="J341">
        <v>16840</v>
      </c>
      <c r="K341">
        <v>2357.6000000000004</v>
      </c>
      <c r="L341">
        <v>4644.08</v>
      </c>
      <c r="M341">
        <v>27.577672209026126</v>
      </c>
    </row>
    <row r="342" spans="1:13" x14ac:dyDescent="0.3">
      <c r="A342" t="s">
        <v>572</v>
      </c>
      <c r="B342" t="s">
        <v>464</v>
      </c>
      <c r="C342" t="s">
        <v>29</v>
      </c>
      <c r="D342" t="s">
        <v>30</v>
      </c>
      <c r="E342" t="s">
        <v>59</v>
      </c>
      <c r="F342">
        <v>2546</v>
      </c>
      <c r="G342">
        <v>1450.81</v>
      </c>
      <c r="H342">
        <v>3</v>
      </c>
      <c r="I342">
        <v>0.1</v>
      </c>
      <c r="J342">
        <v>7638</v>
      </c>
      <c r="K342">
        <v>763.80000000000007</v>
      </c>
      <c r="L342">
        <v>2521.7699999999995</v>
      </c>
      <c r="M342">
        <v>33.016103692065983</v>
      </c>
    </row>
    <row r="343" spans="1:13" x14ac:dyDescent="0.3">
      <c r="A343" t="s">
        <v>574</v>
      </c>
      <c r="B343" t="s">
        <v>575</v>
      </c>
      <c r="C343" t="s">
        <v>15</v>
      </c>
      <c r="D343" t="s">
        <v>30</v>
      </c>
      <c r="E343" t="s">
        <v>34</v>
      </c>
      <c r="F343">
        <v>1623</v>
      </c>
      <c r="G343">
        <v>958.81</v>
      </c>
      <c r="H343">
        <v>3</v>
      </c>
      <c r="I343">
        <v>0.2</v>
      </c>
      <c r="J343">
        <v>4869</v>
      </c>
      <c r="K343">
        <v>973.80000000000007</v>
      </c>
      <c r="L343">
        <v>1018.7700000000001</v>
      </c>
      <c r="M343">
        <v>20.923598274799758</v>
      </c>
    </row>
    <row r="344" spans="1:13" x14ac:dyDescent="0.3">
      <c r="A344" t="s">
        <v>576</v>
      </c>
      <c r="B344" t="s">
        <v>251</v>
      </c>
      <c r="C344" t="s">
        <v>25</v>
      </c>
      <c r="D344" t="s">
        <v>30</v>
      </c>
      <c r="E344" t="s">
        <v>34</v>
      </c>
      <c r="F344">
        <v>2869</v>
      </c>
      <c r="G344">
        <v>2342.52</v>
      </c>
      <c r="H344">
        <v>1</v>
      </c>
      <c r="I344">
        <v>0.21</v>
      </c>
      <c r="J344">
        <v>2869</v>
      </c>
      <c r="K344">
        <v>602.49</v>
      </c>
      <c r="L344">
        <v>-76.009999999999991</v>
      </c>
      <c r="M344">
        <v>-2.6493551760195184</v>
      </c>
    </row>
    <row r="345" spans="1:13" x14ac:dyDescent="0.3">
      <c r="A345" t="s">
        <v>584</v>
      </c>
      <c r="B345" t="s">
        <v>585</v>
      </c>
      <c r="C345" t="s">
        <v>25</v>
      </c>
      <c r="D345" t="s">
        <v>30</v>
      </c>
      <c r="E345" t="s">
        <v>31</v>
      </c>
      <c r="F345">
        <v>3060</v>
      </c>
      <c r="G345">
        <v>1900.8</v>
      </c>
      <c r="H345">
        <v>2</v>
      </c>
      <c r="I345">
        <v>0.22</v>
      </c>
      <c r="J345">
        <v>6120</v>
      </c>
      <c r="K345">
        <v>1346.4</v>
      </c>
      <c r="L345">
        <v>972</v>
      </c>
      <c r="M345">
        <v>15.882352941176469</v>
      </c>
    </row>
    <row r="346" spans="1:13" x14ac:dyDescent="0.3">
      <c r="A346" t="s">
        <v>586</v>
      </c>
      <c r="B346" t="s">
        <v>587</v>
      </c>
      <c r="C346" t="s">
        <v>25</v>
      </c>
      <c r="D346" t="s">
        <v>30</v>
      </c>
      <c r="E346" t="s">
        <v>34</v>
      </c>
      <c r="F346">
        <v>1915</v>
      </c>
      <c r="G346">
        <v>1239.57</v>
      </c>
      <c r="H346">
        <v>4</v>
      </c>
      <c r="I346">
        <v>0.28999999999999998</v>
      </c>
      <c r="J346">
        <v>7660</v>
      </c>
      <c r="K346">
        <v>2221.3999999999996</v>
      </c>
      <c r="L346">
        <v>480.32000000000062</v>
      </c>
      <c r="M346">
        <v>6.2704960835509223</v>
      </c>
    </row>
    <row r="347" spans="1:13" x14ac:dyDescent="0.3">
      <c r="A347" t="s">
        <v>589</v>
      </c>
      <c r="B347" t="s">
        <v>155</v>
      </c>
      <c r="C347" t="s">
        <v>20</v>
      </c>
      <c r="D347" t="s">
        <v>30</v>
      </c>
      <c r="E347" t="s">
        <v>56</v>
      </c>
      <c r="F347">
        <v>1954</v>
      </c>
      <c r="G347">
        <v>1125.3499999999999</v>
      </c>
      <c r="H347">
        <v>6</v>
      </c>
      <c r="I347">
        <v>0.24</v>
      </c>
      <c r="J347">
        <v>11724</v>
      </c>
      <c r="K347">
        <v>2813.7599999999998</v>
      </c>
      <c r="L347">
        <v>2158.1400000000008</v>
      </c>
      <c r="M347">
        <v>18.40788126919141</v>
      </c>
    </row>
    <row r="348" spans="1:13" x14ac:dyDescent="0.3">
      <c r="A348" t="s">
        <v>590</v>
      </c>
      <c r="B348" t="s">
        <v>591</v>
      </c>
      <c r="C348" t="s">
        <v>20</v>
      </c>
      <c r="D348" t="s">
        <v>30</v>
      </c>
      <c r="E348" t="s">
        <v>34</v>
      </c>
      <c r="F348">
        <v>3326</v>
      </c>
      <c r="G348">
        <v>2043.28</v>
      </c>
      <c r="H348">
        <v>6</v>
      </c>
      <c r="I348">
        <v>0.02</v>
      </c>
      <c r="J348">
        <v>19956</v>
      </c>
      <c r="K348">
        <v>399.12</v>
      </c>
      <c r="L348">
        <v>7297.2</v>
      </c>
      <c r="M348">
        <v>36.566446181599517</v>
      </c>
    </row>
    <row r="349" spans="1:13" x14ac:dyDescent="0.3">
      <c r="A349" t="s">
        <v>594</v>
      </c>
      <c r="B349" t="s">
        <v>423</v>
      </c>
      <c r="C349" t="s">
        <v>29</v>
      </c>
      <c r="D349" t="s">
        <v>30</v>
      </c>
      <c r="E349" t="s">
        <v>31</v>
      </c>
      <c r="F349">
        <v>1617</v>
      </c>
      <c r="G349">
        <v>1252.26</v>
      </c>
      <c r="H349">
        <v>10</v>
      </c>
      <c r="I349">
        <v>7.0000000000000007E-2</v>
      </c>
      <c r="J349">
        <v>16170</v>
      </c>
      <c r="K349">
        <v>1131.9000000000001</v>
      </c>
      <c r="L349">
        <v>2515.4999999999995</v>
      </c>
      <c r="M349">
        <v>15.556586270871984</v>
      </c>
    </row>
    <row r="350" spans="1:13" x14ac:dyDescent="0.3">
      <c r="A350" t="s">
        <v>595</v>
      </c>
      <c r="B350" t="s">
        <v>183</v>
      </c>
      <c r="C350" t="s">
        <v>29</v>
      </c>
      <c r="D350" t="s">
        <v>30</v>
      </c>
      <c r="E350" t="s">
        <v>34</v>
      </c>
      <c r="F350">
        <v>3216</v>
      </c>
      <c r="G350">
        <v>2722.31</v>
      </c>
      <c r="H350">
        <v>2</v>
      </c>
      <c r="I350">
        <v>0.15</v>
      </c>
      <c r="J350">
        <v>6432</v>
      </c>
      <c r="K350">
        <v>964.8</v>
      </c>
      <c r="L350">
        <v>22.580000000000155</v>
      </c>
      <c r="M350">
        <v>0.35105721393035066</v>
      </c>
    </row>
    <row r="351" spans="1:13" x14ac:dyDescent="0.3">
      <c r="A351" t="s">
        <v>597</v>
      </c>
      <c r="B351" t="s">
        <v>165</v>
      </c>
      <c r="C351" t="s">
        <v>29</v>
      </c>
      <c r="D351" t="s">
        <v>30</v>
      </c>
      <c r="E351" t="s">
        <v>59</v>
      </c>
      <c r="F351">
        <v>1983</v>
      </c>
      <c r="G351">
        <v>1668.29</v>
      </c>
      <c r="H351">
        <v>9</v>
      </c>
      <c r="I351">
        <v>0.01</v>
      </c>
      <c r="J351">
        <v>17847</v>
      </c>
      <c r="K351">
        <v>178.47</v>
      </c>
      <c r="L351">
        <v>2653.9199999999996</v>
      </c>
      <c r="M351">
        <v>14.870398386283407</v>
      </c>
    </row>
    <row r="352" spans="1:13" x14ac:dyDescent="0.3">
      <c r="A352" t="s">
        <v>598</v>
      </c>
      <c r="B352" t="s">
        <v>599</v>
      </c>
      <c r="C352" t="s">
        <v>20</v>
      </c>
      <c r="D352" t="s">
        <v>30</v>
      </c>
      <c r="E352" t="s">
        <v>34</v>
      </c>
      <c r="F352">
        <v>2451</v>
      </c>
      <c r="G352">
        <v>1390.04</v>
      </c>
      <c r="H352">
        <v>5</v>
      </c>
      <c r="I352">
        <v>0.09</v>
      </c>
      <c r="J352">
        <v>12255</v>
      </c>
      <c r="K352">
        <v>1102.95</v>
      </c>
      <c r="L352">
        <v>4201.8500000000004</v>
      </c>
      <c r="M352">
        <v>34.286821705426355</v>
      </c>
    </row>
    <row r="353" spans="1:13" x14ac:dyDescent="0.3">
      <c r="A353" t="s">
        <v>602</v>
      </c>
      <c r="B353" t="s">
        <v>603</v>
      </c>
      <c r="C353" t="s">
        <v>20</v>
      </c>
      <c r="D353" t="s">
        <v>30</v>
      </c>
      <c r="E353" t="s">
        <v>56</v>
      </c>
      <c r="F353">
        <v>2712</v>
      </c>
      <c r="G353">
        <v>2164.7399999999998</v>
      </c>
      <c r="H353">
        <v>5</v>
      </c>
      <c r="I353">
        <v>0.12</v>
      </c>
      <c r="J353">
        <v>13560</v>
      </c>
      <c r="K353">
        <v>1627.2</v>
      </c>
      <c r="L353">
        <v>1109.100000000001</v>
      </c>
      <c r="M353">
        <v>8.1792035398230176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493C3-8A01-4912-994E-1B915DA8990A}">
  <dimension ref="A3:B7"/>
  <sheetViews>
    <sheetView workbookViewId="0">
      <selection activeCell="B7" sqref="B7"/>
    </sheetView>
  </sheetViews>
  <sheetFormatPr defaultRowHeight="14.4" x14ac:dyDescent="0.3"/>
  <cols>
    <col min="1" max="1" width="12.5546875" bestFit="1" customWidth="1"/>
    <col min="2" max="2" width="12.109375" bestFit="1" customWidth="1"/>
  </cols>
  <sheetData>
    <row r="3" spans="1:2" x14ac:dyDescent="0.3">
      <c r="A3" s="1" t="s">
        <v>605</v>
      </c>
      <c r="B3" t="s">
        <v>608</v>
      </c>
    </row>
    <row r="4" spans="1:2" x14ac:dyDescent="0.3">
      <c r="A4" s="2" t="s">
        <v>21</v>
      </c>
      <c r="B4">
        <v>140292.15999999995</v>
      </c>
    </row>
    <row r="5" spans="1:2" x14ac:dyDescent="0.3">
      <c r="A5" s="2" t="s">
        <v>16</v>
      </c>
      <c r="B5">
        <v>320220.39</v>
      </c>
    </row>
    <row r="6" spans="1:2" x14ac:dyDescent="0.3">
      <c r="A6" s="2" t="s">
        <v>30</v>
      </c>
      <c r="B6">
        <v>221987.11999999991</v>
      </c>
    </row>
    <row r="7" spans="1:2" x14ac:dyDescent="0.3">
      <c r="A7" s="2" t="s">
        <v>606</v>
      </c>
      <c r="B7">
        <v>682499.66999999981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419E8-E627-4AEF-8CD3-2A71F77C4820}">
  <dimension ref="A3:C8"/>
  <sheetViews>
    <sheetView workbookViewId="0">
      <selection activeCell="L23" sqref="L23"/>
    </sheetView>
  </sheetViews>
  <sheetFormatPr defaultRowHeight="14.4" x14ac:dyDescent="0.3"/>
  <cols>
    <col min="1" max="1" width="12.5546875" bestFit="1" customWidth="1"/>
    <col min="2" max="2" width="16.44140625" bestFit="1" customWidth="1"/>
    <col min="3" max="3" width="14.88671875" bestFit="1" customWidth="1"/>
    <col min="4" max="4" width="25.44140625" bestFit="1" customWidth="1"/>
  </cols>
  <sheetData>
    <row r="3" spans="1:3" x14ac:dyDescent="0.3">
      <c r="A3" s="1" t="s">
        <v>605</v>
      </c>
      <c r="B3" t="s">
        <v>609</v>
      </c>
      <c r="C3" t="s">
        <v>607</v>
      </c>
    </row>
    <row r="4" spans="1:3" x14ac:dyDescent="0.3">
      <c r="A4" s="2" t="s">
        <v>15</v>
      </c>
      <c r="B4" s="5">
        <v>89</v>
      </c>
      <c r="C4" s="5">
        <v>1239281</v>
      </c>
    </row>
    <row r="5" spans="1:3" x14ac:dyDescent="0.3">
      <c r="A5" s="2" t="s">
        <v>20</v>
      </c>
      <c r="B5" s="5">
        <v>95</v>
      </c>
      <c r="C5" s="5">
        <v>1332272</v>
      </c>
    </row>
    <row r="6" spans="1:3" x14ac:dyDescent="0.3">
      <c r="A6" s="2" t="s">
        <v>25</v>
      </c>
      <c r="B6" s="5">
        <v>90</v>
      </c>
      <c r="C6" s="5">
        <v>1522160</v>
      </c>
    </row>
    <row r="7" spans="1:3" x14ac:dyDescent="0.3">
      <c r="A7" s="2" t="s">
        <v>29</v>
      </c>
      <c r="B7" s="5">
        <v>76</v>
      </c>
      <c r="C7" s="5">
        <v>1105068</v>
      </c>
    </row>
    <row r="8" spans="1:3" x14ac:dyDescent="0.3">
      <c r="A8" s="2" t="s">
        <v>606</v>
      </c>
      <c r="B8" s="5">
        <v>350</v>
      </c>
      <c r="C8" s="5">
        <v>5198781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F0CD8-1D7F-425B-B7CD-07C621009023}">
  <dimension ref="A3:B19"/>
  <sheetViews>
    <sheetView workbookViewId="0">
      <selection activeCell="V3" sqref="V3:AI35"/>
    </sheetView>
  </sheetViews>
  <sheetFormatPr defaultRowHeight="14.4" x14ac:dyDescent="0.3"/>
  <cols>
    <col min="1" max="1" width="15.109375" bestFit="1" customWidth="1"/>
    <col min="2" max="2" width="14.88671875" bestFit="1" customWidth="1"/>
  </cols>
  <sheetData>
    <row r="3" spans="1:2" x14ac:dyDescent="0.3">
      <c r="A3" s="1" t="s">
        <v>605</v>
      </c>
      <c r="B3" t="s">
        <v>610</v>
      </c>
    </row>
    <row r="4" spans="1:2" x14ac:dyDescent="0.3">
      <c r="A4" s="2" t="s">
        <v>21</v>
      </c>
      <c r="B4">
        <v>633</v>
      </c>
    </row>
    <row r="5" spans="1:2" x14ac:dyDescent="0.3">
      <c r="A5" s="6" t="s">
        <v>37</v>
      </c>
      <c r="B5">
        <v>151</v>
      </c>
    </row>
    <row r="6" spans="1:2" x14ac:dyDescent="0.3">
      <c r="A6" s="6" t="s">
        <v>62</v>
      </c>
      <c r="B6">
        <v>174</v>
      </c>
    </row>
    <row r="7" spans="1:2" x14ac:dyDescent="0.3">
      <c r="A7" s="6" t="s">
        <v>22</v>
      </c>
      <c r="B7">
        <v>125</v>
      </c>
    </row>
    <row r="8" spans="1:2" x14ac:dyDescent="0.3">
      <c r="A8" s="6" t="s">
        <v>47</v>
      </c>
      <c r="B8">
        <v>183</v>
      </c>
    </row>
    <row r="9" spans="1:2" x14ac:dyDescent="0.3">
      <c r="A9" s="2" t="s">
        <v>16</v>
      </c>
      <c r="B9">
        <v>654</v>
      </c>
    </row>
    <row r="10" spans="1:2" x14ac:dyDescent="0.3">
      <c r="A10" s="6" t="s">
        <v>26</v>
      </c>
      <c r="B10">
        <v>172</v>
      </c>
    </row>
    <row r="11" spans="1:2" x14ac:dyDescent="0.3">
      <c r="A11" s="6" t="s">
        <v>17</v>
      </c>
      <c r="B11">
        <v>146</v>
      </c>
    </row>
    <row r="12" spans="1:2" x14ac:dyDescent="0.3">
      <c r="A12" s="6" t="s">
        <v>40</v>
      </c>
      <c r="B12">
        <v>186</v>
      </c>
    </row>
    <row r="13" spans="1:2" x14ac:dyDescent="0.3">
      <c r="A13" s="6" t="s">
        <v>85</v>
      </c>
      <c r="B13">
        <v>150</v>
      </c>
    </row>
    <row r="14" spans="1:2" x14ac:dyDescent="0.3">
      <c r="A14" s="2" t="s">
        <v>30</v>
      </c>
      <c r="B14">
        <v>645</v>
      </c>
    </row>
    <row r="15" spans="1:2" x14ac:dyDescent="0.3">
      <c r="A15" s="6" t="s">
        <v>34</v>
      </c>
      <c r="B15">
        <v>125</v>
      </c>
    </row>
    <row r="16" spans="1:2" x14ac:dyDescent="0.3">
      <c r="A16" s="6" t="s">
        <v>31</v>
      </c>
      <c r="B16">
        <v>191</v>
      </c>
    </row>
    <row r="17" spans="1:2" x14ac:dyDescent="0.3">
      <c r="A17" s="6" t="s">
        <v>59</v>
      </c>
      <c r="B17">
        <v>172</v>
      </c>
    </row>
    <row r="18" spans="1:2" x14ac:dyDescent="0.3">
      <c r="A18" s="6" t="s">
        <v>56</v>
      </c>
      <c r="B18">
        <v>157</v>
      </c>
    </row>
    <row r="19" spans="1:2" x14ac:dyDescent="0.3">
      <c r="A19" s="2" t="s">
        <v>606</v>
      </c>
      <c r="B19">
        <v>1932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F2F6-37C8-4991-A674-A380F9F1C2AD}">
  <dimension ref="A3:B7"/>
  <sheetViews>
    <sheetView workbookViewId="0">
      <selection activeCell="B6" sqref="B6"/>
    </sheetView>
  </sheetViews>
  <sheetFormatPr defaultRowHeight="14.4" x14ac:dyDescent="0.3"/>
  <cols>
    <col min="1" max="1" width="12.5546875" bestFit="1" customWidth="1"/>
    <col min="2" max="2" width="22.88671875" bestFit="1" customWidth="1"/>
    <col min="3" max="3" width="23" bestFit="1" customWidth="1"/>
  </cols>
  <sheetData>
    <row r="3" spans="1:2" x14ac:dyDescent="0.3">
      <c r="A3" s="1" t="s">
        <v>605</v>
      </c>
      <c r="B3" t="s">
        <v>611</v>
      </c>
    </row>
    <row r="4" spans="1:2" x14ac:dyDescent="0.3">
      <c r="A4" s="2" t="s">
        <v>21</v>
      </c>
      <c r="B4">
        <v>5725.08</v>
      </c>
    </row>
    <row r="5" spans="1:2" x14ac:dyDescent="0.3">
      <c r="A5" s="2" t="s">
        <v>16</v>
      </c>
      <c r="B5">
        <v>17899.52</v>
      </c>
    </row>
    <row r="6" spans="1:2" x14ac:dyDescent="0.3">
      <c r="A6" s="2" t="s">
        <v>30</v>
      </c>
      <c r="B6">
        <v>12672</v>
      </c>
    </row>
    <row r="7" spans="1:2" x14ac:dyDescent="0.3">
      <c r="A7" s="2" t="s">
        <v>606</v>
      </c>
      <c r="B7">
        <v>17899.52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71045-BA26-4D66-9489-C97D7DA636A9}">
  <dimension ref="A1:AI58"/>
  <sheetViews>
    <sheetView zoomScale="80" zoomScaleNormal="80" workbookViewId="0">
      <selection activeCell="A3" sqref="A3:U58"/>
    </sheetView>
  </sheetViews>
  <sheetFormatPr defaultRowHeight="14.4" x14ac:dyDescent="0.3"/>
  <cols>
    <col min="1" max="1" width="14.6640625" customWidth="1"/>
    <col min="2" max="2" width="13" customWidth="1"/>
    <col min="3" max="3" width="14.33203125" customWidth="1"/>
    <col min="4" max="4" width="11.88671875" bestFit="1" customWidth="1"/>
    <col min="5" max="5" width="15.77734375" customWidth="1"/>
    <col min="6" max="6" width="15.109375" customWidth="1"/>
  </cols>
  <sheetData>
    <row r="1" spans="1:35" ht="21" x14ac:dyDescent="0.4">
      <c r="A1" s="14" t="s">
        <v>615</v>
      </c>
      <c r="B1" s="15"/>
      <c r="C1" s="15"/>
      <c r="D1" s="15"/>
      <c r="E1" s="15"/>
      <c r="F1" s="15"/>
      <c r="G1" s="15"/>
      <c r="H1" s="15"/>
      <c r="I1" s="15"/>
      <c r="J1" s="15"/>
      <c r="K1" s="15"/>
      <c r="L1" s="15"/>
      <c r="M1" s="15"/>
      <c r="N1" s="16" t="s">
        <v>615</v>
      </c>
      <c r="O1" s="13"/>
      <c r="P1" s="13"/>
      <c r="Q1" s="13"/>
      <c r="R1" s="13"/>
      <c r="S1" s="13"/>
      <c r="T1" s="13"/>
      <c r="U1" s="13"/>
      <c r="V1" s="13"/>
      <c r="W1" s="13"/>
      <c r="X1" s="13"/>
      <c r="Y1" s="13"/>
      <c r="Z1" s="13"/>
    </row>
    <row r="2" spans="1:35" ht="15.6" x14ac:dyDescent="0.3">
      <c r="A2" s="8" t="s">
        <v>612</v>
      </c>
      <c r="B2" s="9">
        <v>5198781</v>
      </c>
      <c r="C2" s="8" t="s">
        <v>614</v>
      </c>
      <c r="D2" s="10">
        <v>682499.66999999981</v>
      </c>
      <c r="E2" s="8" t="s">
        <v>607</v>
      </c>
      <c r="F2" s="11">
        <v>5198781</v>
      </c>
    </row>
    <row r="3" spans="1:35" x14ac:dyDescent="0.3">
      <c r="A3" s="12"/>
      <c r="B3" s="12"/>
      <c r="C3" s="12"/>
      <c r="D3" s="12"/>
      <c r="E3" s="12"/>
      <c r="F3" s="12"/>
      <c r="G3" s="12"/>
      <c r="H3" s="12"/>
      <c r="I3" s="12"/>
      <c r="J3" s="12"/>
      <c r="K3" s="12"/>
      <c r="L3" s="12"/>
      <c r="M3" s="12"/>
      <c r="N3" s="12"/>
      <c r="O3" s="12"/>
      <c r="P3" s="12"/>
      <c r="Q3" s="12"/>
      <c r="R3" s="12"/>
      <c r="S3" s="12"/>
      <c r="T3" s="12"/>
      <c r="U3" s="12"/>
      <c r="V3" s="13"/>
      <c r="W3" s="13"/>
      <c r="X3" s="13"/>
      <c r="Y3" s="13"/>
      <c r="Z3" s="13"/>
      <c r="AA3" s="13"/>
      <c r="AB3" s="13"/>
      <c r="AC3" s="13"/>
      <c r="AD3" s="13"/>
      <c r="AE3" s="13"/>
      <c r="AF3" s="13"/>
      <c r="AG3" s="13"/>
      <c r="AH3" s="13"/>
      <c r="AI3" s="13"/>
    </row>
    <row r="4" spans="1:35" x14ac:dyDescent="0.3">
      <c r="A4" s="12"/>
      <c r="B4" s="12"/>
      <c r="C4" s="12"/>
      <c r="D4" s="12"/>
      <c r="E4" s="12"/>
      <c r="F4" s="12"/>
      <c r="G4" s="12"/>
      <c r="H4" s="12"/>
      <c r="I4" s="12"/>
      <c r="J4" s="12"/>
      <c r="K4" s="12"/>
      <c r="L4" s="12"/>
      <c r="M4" s="12"/>
      <c r="N4" s="12"/>
      <c r="O4" s="12"/>
      <c r="P4" s="12"/>
      <c r="Q4" s="12"/>
      <c r="R4" s="12"/>
      <c r="S4" s="12"/>
      <c r="T4" s="12"/>
      <c r="U4" s="12"/>
      <c r="V4" s="13"/>
      <c r="W4" s="13"/>
      <c r="X4" s="13"/>
      <c r="Y4" s="13"/>
      <c r="Z4" s="13"/>
      <c r="AA4" s="13"/>
      <c r="AB4" s="13"/>
      <c r="AC4" s="13"/>
      <c r="AD4" s="13"/>
      <c r="AE4" s="13"/>
      <c r="AF4" s="13"/>
      <c r="AG4" s="13"/>
      <c r="AH4" s="13"/>
      <c r="AI4" s="13"/>
    </row>
    <row r="5" spans="1:35" x14ac:dyDescent="0.3">
      <c r="A5" s="12"/>
      <c r="B5" s="12"/>
      <c r="C5" s="12"/>
      <c r="D5" s="12"/>
      <c r="E5" s="12"/>
      <c r="F5" s="12"/>
      <c r="G5" s="12"/>
      <c r="H5" s="12"/>
      <c r="I5" s="12"/>
      <c r="J5" s="12"/>
      <c r="K5" s="12"/>
      <c r="L5" s="12"/>
      <c r="M5" s="12"/>
      <c r="N5" s="12"/>
      <c r="O5" s="12"/>
      <c r="P5" s="12"/>
      <c r="Q5" s="12"/>
      <c r="R5" s="12"/>
      <c r="S5" s="12"/>
      <c r="T5" s="12"/>
      <c r="U5" s="12"/>
      <c r="V5" s="13"/>
      <c r="W5" s="13"/>
      <c r="X5" s="13"/>
      <c r="Y5" s="13"/>
      <c r="Z5" s="13"/>
      <c r="AA5" s="13"/>
      <c r="AB5" s="13"/>
      <c r="AC5" s="13"/>
      <c r="AD5" s="13"/>
      <c r="AE5" s="13"/>
      <c r="AF5" s="13"/>
      <c r="AG5" s="13"/>
      <c r="AH5" s="13"/>
      <c r="AI5" s="13"/>
    </row>
    <row r="6" spans="1:35" x14ac:dyDescent="0.3">
      <c r="A6" s="12"/>
      <c r="B6" s="12"/>
      <c r="C6" s="12"/>
      <c r="D6" s="12"/>
      <c r="E6" s="12"/>
      <c r="F6" s="12"/>
      <c r="G6" s="12"/>
      <c r="H6" s="12"/>
      <c r="I6" s="12"/>
      <c r="J6" s="12"/>
      <c r="K6" s="12"/>
      <c r="L6" s="12"/>
      <c r="M6" s="12"/>
      <c r="N6" s="12"/>
      <c r="O6" s="12"/>
      <c r="P6" s="12"/>
      <c r="Q6" s="12"/>
      <c r="R6" s="12"/>
      <c r="S6" s="12"/>
      <c r="T6" s="12"/>
      <c r="U6" s="12"/>
      <c r="V6" s="13"/>
      <c r="W6" s="13"/>
      <c r="X6" s="13"/>
      <c r="Y6" s="13"/>
      <c r="Z6" s="13"/>
      <c r="AA6" s="13"/>
      <c r="AB6" s="13"/>
      <c r="AC6" s="13"/>
      <c r="AD6" s="13"/>
      <c r="AE6" s="13"/>
      <c r="AF6" s="13"/>
      <c r="AG6" s="13"/>
      <c r="AH6" s="13"/>
      <c r="AI6" s="13"/>
    </row>
    <row r="7" spans="1:35" x14ac:dyDescent="0.3">
      <c r="A7" s="12"/>
      <c r="B7" s="12"/>
      <c r="C7" s="12"/>
      <c r="D7" s="12"/>
      <c r="E7" s="12"/>
      <c r="F7" s="12"/>
      <c r="G7" s="12"/>
      <c r="H7" s="12"/>
      <c r="I7" s="12"/>
      <c r="J7" s="12"/>
      <c r="K7" s="12"/>
      <c r="L7" s="12"/>
      <c r="M7" s="12"/>
      <c r="N7" s="12"/>
      <c r="O7" s="12"/>
      <c r="P7" s="12"/>
      <c r="Q7" s="12"/>
      <c r="R7" s="12"/>
      <c r="S7" s="12"/>
      <c r="T7" s="12"/>
      <c r="U7" s="12"/>
      <c r="V7" s="13"/>
      <c r="W7" s="13"/>
      <c r="X7" s="13"/>
      <c r="Y7" s="13"/>
      <c r="Z7" s="13"/>
      <c r="AA7" s="13"/>
      <c r="AB7" s="13"/>
      <c r="AC7" s="13"/>
      <c r="AD7" s="13"/>
      <c r="AE7" s="13"/>
      <c r="AF7" s="13"/>
      <c r="AG7" s="13"/>
      <c r="AH7" s="13"/>
      <c r="AI7" s="13"/>
    </row>
    <row r="8" spans="1:35" x14ac:dyDescent="0.3">
      <c r="A8" s="12"/>
      <c r="B8" s="12"/>
      <c r="C8" s="12"/>
      <c r="D8" s="12"/>
      <c r="E8" s="12"/>
      <c r="F8" s="12"/>
      <c r="G8" s="12"/>
      <c r="H8" s="12"/>
      <c r="I8" s="12"/>
      <c r="J8" s="12"/>
      <c r="K8" s="12"/>
      <c r="L8" s="12"/>
      <c r="M8" s="12"/>
      <c r="N8" s="12"/>
      <c r="O8" s="12"/>
      <c r="P8" s="12"/>
      <c r="Q8" s="12"/>
      <c r="R8" s="12"/>
      <c r="S8" s="12"/>
      <c r="T8" s="12"/>
      <c r="U8" s="12"/>
      <c r="V8" s="13"/>
      <c r="W8" s="13"/>
      <c r="X8" s="13"/>
      <c r="Y8" s="13"/>
      <c r="Z8" s="13"/>
      <c r="AA8" s="13"/>
      <c r="AB8" s="13"/>
      <c r="AC8" s="13"/>
      <c r="AD8" s="13"/>
      <c r="AE8" s="13"/>
      <c r="AF8" s="13"/>
      <c r="AG8" s="13"/>
      <c r="AH8" s="13"/>
      <c r="AI8" s="13"/>
    </row>
    <row r="9" spans="1:35" x14ac:dyDescent="0.3">
      <c r="A9" s="12"/>
      <c r="B9" s="12"/>
      <c r="C9" s="12"/>
      <c r="D9" s="12"/>
      <c r="E9" s="12"/>
      <c r="F9" s="12"/>
      <c r="G9" s="12"/>
      <c r="H9" s="12"/>
      <c r="I9" s="12"/>
      <c r="J9" s="12"/>
      <c r="K9" s="12"/>
      <c r="L9" s="12"/>
      <c r="M9" s="12"/>
      <c r="N9" s="12"/>
      <c r="O9" s="12"/>
      <c r="P9" s="12"/>
      <c r="Q9" s="12"/>
      <c r="R9" s="12"/>
      <c r="S9" s="12"/>
      <c r="T9" s="12"/>
      <c r="U9" s="12"/>
      <c r="V9" s="13"/>
      <c r="W9" s="13"/>
      <c r="X9" s="13"/>
      <c r="Y9" s="13"/>
      <c r="Z9" s="13"/>
      <c r="AA9" s="13"/>
      <c r="AB9" s="13"/>
      <c r="AC9" s="13"/>
      <c r="AD9" s="13"/>
      <c r="AE9" s="13"/>
      <c r="AF9" s="13"/>
      <c r="AG9" s="13"/>
      <c r="AH9" s="13"/>
      <c r="AI9" s="13"/>
    </row>
    <row r="10" spans="1:35" x14ac:dyDescent="0.3">
      <c r="A10" s="12"/>
      <c r="B10" s="12"/>
      <c r="C10" s="12"/>
      <c r="D10" s="12"/>
      <c r="E10" s="12"/>
      <c r="F10" s="12"/>
      <c r="G10" s="12"/>
      <c r="H10" s="12"/>
      <c r="I10" s="12"/>
      <c r="J10" s="12"/>
      <c r="K10" s="12"/>
      <c r="L10" s="12"/>
      <c r="M10" s="12"/>
      <c r="N10" s="12"/>
      <c r="O10" s="12"/>
      <c r="P10" s="12"/>
      <c r="Q10" s="12"/>
      <c r="R10" s="12"/>
      <c r="S10" s="12"/>
      <c r="T10" s="12"/>
      <c r="U10" s="12"/>
      <c r="V10" s="13"/>
      <c r="W10" s="13"/>
      <c r="X10" s="13"/>
      <c r="Y10" s="13"/>
      <c r="Z10" s="13"/>
      <c r="AA10" s="13"/>
      <c r="AB10" s="13"/>
      <c r="AC10" s="13"/>
      <c r="AD10" s="13"/>
      <c r="AE10" s="13"/>
      <c r="AF10" s="13"/>
      <c r="AG10" s="13"/>
      <c r="AH10" s="13"/>
      <c r="AI10" s="13"/>
    </row>
    <row r="11" spans="1:35" x14ac:dyDescent="0.3">
      <c r="A11" s="12"/>
      <c r="B11" s="12"/>
      <c r="C11" s="12"/>
      <c r="D11" s="12"/>
      <c r="E11" s="12"/>
      <c r="F11" s="12"/>
      <c r="G11" s="12"/>
      <c r="H11" s="12"/>
      <c r="I11" s="12"/>
      <c r="J11" s="12"/>
      <c r="K11" s="12"/>
      <c r="L11" s="12"/>
      <c r="M11" s="12"/>
      <c r="N11" s="12"/>
      <c r="O11" s="12"/>
      <c r="P11" s="12"/>
      <c r="Q11" s="12"/>
      <c r="R11" s="12"/>
      <c r="S11" s="12"/>
      <c r="T11" s="12"/>
      <c r="U11" s="12"/>
      <c r="V11" s="13"/>
      <c r="W11" s="13"/>
      <c r="X11" s="13"/>
      <c r="Y11" s="13"/>
      <c r="Z11" s="13"/>
      <c r="AA11" s="13"/>
      <c r="AB11" s="13"/>
      <c r="AC11" s="13"/>
      <c r="AD11" s="13"/>
      <c r="AE11" s="13"/>
      <c r="AF11" s="13"/>
      <c r="AG11" s="13"/>
      <c r="AH11" s="13"/>
      <c r="AI11" s="13"/>
    </row>
    <row r="12" spans="1:35" x14ac:dyDescent="0.3">
      <c r="A12" s="12"/>
      <c r="B12" s="12"/>
      <c r="C12" s="12"/>
      <c r="D12" s="12"/>
      <c r="E12" s="12"/>
      <c r="F12" s="12"/>
      <c r="G12" s="12"/>
      <c r="H12" s="12"/>
      <c r="I12" s="12"/>
      <c r="J12" s="12"/>
      <c r="K12" s="12"/>
      <c r="L12" s="12"/>
      <c r="M12" s="12"/>
      <c r="N12" s="12"/>
      <c r="O12" s="12"/>
      <c r="P12" s="12"/>
      <c r="Q12" s="12"/>
      <c r="R12" s="12"/>
      <c r="S12" s="12"/>
      <c r="T12" s="12"/>
      <c r="U12" s="12"/>
      <c r="V12" s="13"/>
      <c r="W12" s="13"/>
      <c r="X12" s="13"/>
      <c r="Y12" s="13"/>
      <c r="Z12" s="13"/>
      <c r="AA12" s="13"/>
      <c r="AB12" s="13"/>
      <c r="AC12" s="13"/>
      <c r="AD12" s="13"/>
      <c r="AE12" s="13"/>
      <c r="AF12" s="13"/>
      <c r="AG12" s="13"/>
      <c r="AH12" s="13"/>
      <c r="AI12" s="13"/>
    </row>
    <row r="13" spans="1:35" x14ac:dyDescent="0.3">
      <c r="A13" s="12"/>
      <c r="B13" s="12"/>
      <c r="C13" s="12"/>
      <c r="D13" s="12"/>
      <c r="E13" s="12"/>
      <c r="F13" s="12"/>
      <c r="G13" s="12"/>
      <c r="H13" s="12"/>
      <c r="I13" s="12"/>
      <c r="J13" s="12"/>
      <c r="K13" s="12"/>
      <c r="L13" s="12"/>
      <c r="M13" s="12"/>
      <c r="N13" s="12"/>
      <c r="O13" s="12"/>
      <c r="P13" s="12"/>
      <c r="Q13" s="12"/>
      <c r="R13" s="12"/>
      <c r="S13" s="12"/>
      <c r="T13" s="12"/>
      <c r="U13" s="12"/>
      <c r="V13" s="13"/>
      <c r="W13" s="13"/>
      <c r="X13" s="13"/>
      <c r="Y13" s="13"/>
      <c r="Z13" s="13"/>
      <c r="AA13" s="13"/>
      <c r="AB13" s="13"/>
      <c r="AC13" s="13"/>
      <c r="AD13" s="13"/>
      <c r="AE13" s="13"/>
      <c r="AF13" s="13"/>
      <c r="AG13" s="13"/>
      <c r="AH13" s="13"/>
      <c r="AI13" s="13"/>
    </row>
    <row r="14" spans="1:35" x14ac:dyDescent="0.3">
      <c r="A14" s="12"/>
      <c r="B14" s="12"/>
      <c r="C14" s="12"/>
      <c r="D14" s="12"/>
      <c r="E14" s="12"/>
      <c r="F14" s="12"/>
      <c r="G14" s="12"/>
      <c r="H14" s="12"/>
      <c r="I14" s="12"/>
      <c r="J14" s="12"/>
      <c r="K14" s="12"/>
      <c r="L14" s="12"/>
      <c r="M14" s="12"/>
      <c r="N14" s="12"/>
      <c r="O14" s="12"/>
      <c r="P14" s="12"/>
      <c r="Q14" s="12"/>
      <c r="R14" s="12"/>
      <c r="S14" s="12"/>
      <c r="T14" s="12"/>
      <c r="U14" s="12"/>
      <c r="V14" s="13"/>
      <c r="W14" s="13"/>
      <c r="X14" s="13"/>
      <c r="Y14" s="13"/>
      <c r="Z14" s="13"/>
      <c r="AA14" s="13"/>
      <c r="AB14" s="13"/>
      <c r="AC14" s="13"/>
      <c r="AD14" s="13"/>
      <c r="AE14" s="13"/>
      <c r="AF14" s="13"/>
      <c r="AG14" s="13"/>
      <c r="AH14" s="13"/>
      <c r="AI14" s="13"/>
    </row>
    <row r="15" spans="1:35" x14ac:dyDescent="0.3">
      <c r="A15" s="12"/>
      <c r="B15" s="12"/>
      <c r="C15" s="12"/>
      <c r="D15" s="12"/>
      <c r="E15" s="12"/>
      <c r="F15" s="12"/>
      <c r="G15" s="12"/>
      <c r="H15" s="12"/>
      <c r="I15" s="12"/>
      <c r="J15" s="12"/>
      <c r="K15" s="12"/>
      <c r="L15" s="12"/>
      <c r="M15" s="12"/>
      <c r="N15" s="12"/>
      <c r="O15" s="12"/>
      <c r="P15" s="12"/>
      <c r="Q15" s="12"/>
      <c r="R15" s="12"/>
      <c r="S15" s="12"/>
      <c r="T15" s="12"/>
      <c r="U15" s="12"/>
      <c r="V15" s="13"/>
      <c r="W15" s="13"/>
      <c r="X15" s="13"/>
      <c r="Y15" s="13"/>
      <c r="Z15" s="13"/>
      <c r="AA15" s="13"/>
      <c r="AB15" s="13"/>
      <c r="AC15" s="13"/>
      <c r="AD15" s="13"/>
      <c r="AE15" s="13"/>
      <c r="AF15" s="13"/>
      <c r="AG15" s="13"/>
      <c r="AH15" s="13"/>
      <c r="AI15" s="13"/>
    </row>
    <row r="16" spans="1:35" x14ac:dyDescent="0.3">
      <c r="A16" s="12"/>
      <c r="B16" s="12"/>
      <c r="C16" s="12"/>
      <c r="D16" s="12"/>
      <c r="E16" s="12"/>
      <c r="F16" s="12"/>
      <c r="G16" s="12"/>
      <c r="H16" s="12"/>
      <c r="I16" s="12"/>
      <c r="J16" s="12"/>
      <c r="K16" s="12"/>
      <c r="L16" s="12"/>
      <c r="M16" s="12"/>
      <c r="N16" s="12"/>
      <c r="O16" s="12"/>
      <c r="P16" s="12"/>
      <c r="Q16" s="12"/>
      <c r="R16" s="12"/>
      <c r="S16" s="12"/>
      <c r="T16" s="12"/>
      <c r="U16" s="12"/>
      <c r="V16" s="13"/>
      <c r="W16" s="13"/>
      <c r="X16" s="13"/>
      <c r="Y16" s="13"/>
      <c r="Z16" s="13"/>
      <c r="AA16" s="13"/>
      <c r="AB16" s="13"/>
      <c r="AC16" s="13"/>
      <c r="AD16" s="13"/>
      <c r="AE16" s="13"/>
      <c r="AF16" s="13"/>
      <c r="AG16" s="13"/>
      <c r="AH16" s="13"/>
      <c r="AI16" s="13"/>
    </row>
    <row r="17" spans="1:35" x14ac:dyDescent="0.3">
      <c r="A17" s="12"/>
      <c r="B17" s="12"/>
      <c r="C17" s="12"/>
      <c r="D17" s="12"/>
      <c r="E17" s="12"/>
      <c r="F17" s="12"/>
      <c r="G17" s="12"/>
      <c r="H17" s="12"/>
      <c r="I17" s="12"/>
      <c r="J17" s="12"/>
      <c r="K17" s="12"/>
      <c r="L17" s="12"/>
      <c r="M17" s="12"/>
      <c r="N17" s="12"/>
      <c r="O17" s="12"/>
      <c r="P17" s="12"/>
      <c r="Q17" s="12"/>
      <c r="R17" s="12"/>
      <c r="S17" s="12"/>
      <c r="T17" s="12"/>
      <c r="U17" s="12"/>
      <c r="V17" s="13"/>
      <c r="W17" s="13"/>
      <c r="X17" s="13"/>
      <c r="Y17" s="13"/>
      <c r="Z17" s="13"/>
      <c r="AA17" s="13"/>
      <c r="AB17" s="13"/>
      <c r="AC17" s="13"/>
      <c r="AD17" s="13"/>
      <c r="AE17" s="13"/>
      <c r="AF17" s="13"/>
      <c r="AG17" s="13"/>
      <c r="AH17" s="13"/>
      <c r="AI17" s="13"/>
    </row>
    <row r="18" spans="1:35" x14ac:dyDescent="0.3">
      <c r="A18" s="12"/>
      <c r="B18" s="12"/>
      <c r="C18" s="12"/>
      <c r="D18" s="12"/>
      <c r="E18" s="12"/>
      <c r="F18" s="12"/>
      <c r="G18" s="12"/>
      <c r="H18" s="12"/>
      <c r="I18" s="12"/>
      <c r="J18" s="12"/>
      <c r="K18" s="12"/>
      <c r="L18" s="12"/>
      <c r="M18" s="12"/>
      <c r="N18" s="12"/>
      <c r="O18" s="12"/>
      <c r="P18" s="12"/>
      <c r="Q18" s="12"/>
      <c r="R18" s="12"/>
      <c r="S18" s="12"/>
      <c r="T18" s="12"/>
      <c r="U18" s="12"/>
      <c r="V18" s="13"/>
      <c r="W18" s="13"/>
      <c r="X18" s="13"/>
      <c r="Y18" s="13"/>
      <c r="Z18" s="13"/>
      <c r="AA18" s="13"/>
      <c r="AB18" s="13"/>
      <c r="AC18" s="13"/>
      <c r="AD18" s="13"/>
      <c r="AE18" s="13"/>
      <c r="AF18" s="13"/>
      <c r="AG18" s="13"/>
      <c r="AH18" s="13"/>
      <c r="AI18" s="13"/>
    </row>
    <row r="19" spans="1:35" x14ac:dyDescent="0.3">
      <c r="A19" s="12"/>
      <c r="B19" s="12"/>
      <c r="C19" s="12"/>
      <c r="D19" s="12"/>
      <c r="E19" s="12"/>
      <c r="F19" s="12"/>
      <c r="G19" s="12"/>
      <c r="H19" s="12"/>
      <c r="I19" s="12"/>
      <c r="J19" s="12"/>
      <c r="K19" s="12"/>
      <c r="L19" s="12"/>
      <c r="M19" s="12"/>
      <c r="N19" s="12"/>
      <c r="O19" s="12"/>
      <c r="P19" s="12"/>
      <c r="Q19" s="12"/>
      <c r="R19" s="12"/>
      <c r="S19" s="12"/>
      <c r="T19" s="12"/>
      <c r="U19" s="12"/>
      <c r="V19" s="13"/>
      <c r="W19" s="13"/>
      <c r="X19" s="13"/>
      <c r="Y19" s="13"/>
      <c r="Z19" s="13"/>
      <c r="AA19" s="13"/>
      <c r="AB19" s="13"/>
      <c r="AC19" s="13"/>
      <c r="AD19" s="13"/>
      <c r="AE19" s="13"/>
      <c r="AF19" s="13"/>
      <c r="AG19" s="13"/>
      <c r="AH19" s="13"/>
      <c r="AI19" s="13"/>
    </row>
    <row r="20" spans="1:35" x14ac:dyDescent="0.3">
      <c r="A20" s="12"/>
      <c r="B20" s="12"/>
      <c r="C20" s="12"/>
      <c r="D20" s="12"/>
      <c r="E20" s="12"/>
      <c r="F20" s="12"/>
      <c r="G20" s="12"/>
      <c r="H20" s="12"/>
      <c r="I20" s="12"/>
      <c r="J20" s="12"/>
      <c r="K20" s="12"/>
      <c r="L20" s="12"/>
      <c r="M20" s="12"/>
      <c r="N20" s="12"/>
      <c r="O20" s="12"/>
      <c r="P20" s="12"/>
      <c r="Q20" s="12"/>
      <c r="R20" s="12"/>
      <c r="S20" s="12"/>
      <c r="T20" s="12"/>
      <c r="U20" s="12"/>
      <c r="V20" s="13"/>
      <c r="W20" s="13"/>
      <c r="X20" s="13"/>
      <c r="Y20" s="13"/>
      <c r="Z20" s="13"/>
      <c r="AA20" s="13"/>
      <c r="AB20" s="13"/>
      <c r="AC20" s="13"/>
      <c r="AD20" s="13"/>
      <c r="AE20" s="13"/>
      <c r="AF20" s="13"/>
      <c r="AG20" s="13"/>
      <c r="AH20" s="13"/>
      <c r="AI20" s="13"/>
    </row>
    <row r="21" spans="1:35" x14ac:dyDescent="0.3">
      <c r="A21" s="12"/>
      <c r="B21" s="12"/>
      <c r="C21" s="12"/>
      <c r="D21" s="12"/>
      <c r="E21" s="12"/>
      <c r="F21" s="12"/>
      <c r="G21" s="12"/>
      <c r="H21" s="12"/>
      <c r="I21" s="12"/>
      <c r="J21" s="12"/>
      <c r="K21" s="12"/>
      <c r="L21" s="12"/>
      <c r="M21" s="12"/>
      <c r="N21" s="12"/>
      <c r="O21" s="12"/>
      <c r="P21" s="12"/>
      <c r="Q21" s="12"/>
      <c r="R21" s="12"/>
      <c r="S21" s="12"/>
      <c r="T21" s="12"/>
      <c r="U21" s="12"/>
      <c r="V21" s="13"/>
      <c r="W21" s="13"/>
      <c r="X21" s="13"/>
      <c r="Y21" s="13"/>
      <c r="Z21" s="13"/>
      <c r="AA21" s="13"/>
      <c r="AB21" s="13"/>
      <c r="AC21" s="13"/>
      <c r="AD21" s="13"/>
      <c r="AE21" s="13"/>
      <c r="AF21" s="13"/>
      <c r="AG21" s="13"/>
      <c r="AH21" s="13"/>
      <c r="AI21" s="13"/>
    </row>
    <row r="22" spans="1:35" x14ac:dyDescent="0.3">
      <c r="A22" s="12"/>
      <c r="B22" s="12"/>
      <c r="C22" s="12"/>
      <c r="D22" s="12"/>
      <c r="E22" s="12"/>
      <c r="F22" s="12"/>
      <c r="G22" s="12"/>
      <c r="H22" s="12"/>
      <c r="I22" s="12"/>
      <c r="J22" s="12"/>
      <c r="K22" s="12"/>
      <c r="L22" s="12"/>
      <c r="M22" s="12"/>
      <c r="N22" s="12"/>
      <c r="O22" s="12"/>
      <c r="P22" s="12"/>
      <c r="Q22" s="12"/>
      <c r="R22" s="12"/>
      <c r="S22" s="12"/>
      <c r="T22" s="12"/>
      <c r="U22" s="12"/>
      <c r="V22" s="13"/>
      <c r="W22" s="13"/>
      <c r="X22" s="13"/>
      <c r="Y22" s="13"/>
      <c r="Z22" s="13"/>
      <c r="AA22" s="13"/>
      <c r="AB22" s="13"/>
      <c r="AC22" s="13"/>
      <c r="AD22" s="13"/>
      <c r="AE22" s="13"/>
      <c r="AF22" s="13"/>
      <c r="AG22" s="13"/>
      <c r="AH22" s="13"/>
      <c r="AI22" s="13"/>
    </row>
    <row r="23" spans="1:35" x14ac:dyDescent="0.3">
      <c r="A23" s="12"/>
      <c r="B23" s="12"/>
      <c r="C23" s="12"/>
      <c r="D23" s="12"/>
      <c r="E23" s="12"/>
      <c r="F23" s="12"/>
      <c r="G23" s="12"/>
      <c r="H23" s="12"/>
      <c r="I23" s="12"/>
      <c r="J23" s="12"/>
      <c r="K23" s="12"/>
      <c r="L23" s="12"/>
      <c r="M23" s="12"/>
      <c r="N23" s="12"/>
      <c r="O23" s="12"/>
      <c r="P23" s="12"/>
      <c r="Q23" s="12"/>
      <c r="R23" s="12"/>
      <c r="S23" s="12"/>
      <c r="T23" s="12"/>
      <c r="U23" s="12"/>
      <c r="V23" s="13"/>
      <c r="W23" s="13"/>
      <c r="X23" s="13"/>
      <c r="Y23" s="13"/>
      <c r="Z23" s="13"/>
      <c r="AA23" s="13"/>
      <c r="AB23" s="13"/>
      <c r="AC23" s="13"/>
      <c r="AD23" s="13"/>
      <c r="AE23" s="13"/>
      <c r="AF23" s="13"/>
      <c r="AG23" s="13"/>
      <c r="AH23" s="13"/>
      <c r="AI23" s="13"/>
    </row>
    <row r="24" spans="1:35" x14ac:dyDescent="0.3">
      <c r="A24" s="12"/>
      <c r="B24" s="12"/>
      <c r="C24" s="12"/>
      <c r="D24" s="12"/>
      <c r="E24" s="12"/>
      <c r="F24" s="12"/>
      <c r="G24" s="12"/>
      <c r="H24" s="12"/>
      <c r="I24" s="12"/>
      <c r="J24" s="12"/>
      <c r="K24" s="12"/>
      <c r="L24" s="12"/>
      <c r="M24" s="12"/>
      <c r="N24" s="12"/>
      <c r="O24" s="12"/>
      <c r="P24" s="12"/>
      <c r="Q24" s="12"/>
      <c r="R24" s="12"/>
      <c r="S24" s="12"/>
      <c r="T24" s="12"/>
      <c r="U24" s="12"/>
      <c r="V24" s="13"/>
      <c r="W24" s="13"/>
      <c r="X24" s="13"/>
      <c r="Y24" s="13"/>
      <c r="Z24" s="13"/>
      <c r="AA24" s="13"/>
      <c r="AB24" s="13"/>
      <c r="AC24" s="13"/>
      <c r="AD24" s="13"/>
      <c r="AE24" s="13"/>
      <c r="AF24" s="13"/>
      <c r="AG24" s="13"/>
      <c r="AH24" s="13"/>
      <c r="AI24" s="13"/>
    </row>
    <row r="25" spans="1:35" x14ac:dyDescent="0.3">
      <c r="A25" s="12"/>
      <c r="B25" s="12"/>
      <c r="C25" s="12"/>
      <c r="D25" s="12"/>
      <c r="E25" s="12"/>
      <c r="F25" s="12"/>
      <c r="G25" s="12"/>
      <c r="H25" s="12"/>
      <c r="I25" s="12"/>
      <c r="J25" s="12"/>
      <c r="K25" s="12"/>
      <c r="L25" s="12"/>
      <c r="M25" s="12"/>
      <c r="N25" s="12"/>
      <c r="O25" s="12"/>
      <c r="P25" s="12"/>
      <c r="Q25" s="12"/>
      <c r="R25" s="12"/>
      <c r="S25" s="12"/>
      <c r="T25" s="12"/>
      <c r="U25" s="12"/>
      <c r="V25" s="13"/>
      <c r="W25" s="13"/>
      <c r="X25" s="13"/>
      <c r="Y25" s="13"/>
      <c r="Z25" s="13"/>
      <c r="AA25" s="13"/>
      <c r="AB25" s="13"/>
      <c r="AC25" s="13"/>
      <c r="AD25" s="13"/>
      <c r="AE25" s="13"/>
      <c r="AF25" s="13"/>
      <c r="AG25" s="13"/>
      <c r="AH25" s="13"/>
      <c r="AI25" s="13"/>
    </row>
    <row r="26" spans="1:35" x14ac:dyDescent="0.3">
      <c r="A26" s="12"/>
      <c r="B26" s="12"/>
      <c r="C26" s="12"/>
      <c r="D26" s="12"/>
      <c r="E26" s="12"/>
      <c r="F26" s="12"/>
      <c r="G26" s="12"/>
      <c r="H26" s="12"/>
      <c r="I26" s="12"/>
      <c r="J26" s="12"/>
      <c r="K26" s="12"/>
      <c r="L26" s="12"/>
      <c r="M26" s="12"/>
      <c r="N26" s="12"/>
      <c r="O26" s="12"/>
      <c r="P26" s="12"/>
      <c r="Q26" s="12"/>
      <c r="R26" s="12"/>
      <c r="S26" s="12"/>
      <c r="T26" s="12"/>
      <c r="U26" s="12"/>
      <c r="V26" s="13"/>
      <c r="W26" s="13"/>
      <c r="X26" s="13"/>
      <c r="Y26" s="13"/>
      <c r="Z26" s="13"/>
      <c r="AA26" s="13"/>
      <c r="AB26" s="13"/>
      <c r="AC26" s="13"/>
      <c r="AD26" s="13"/>
      <c r="AE26" s="13"/>
      <c r="AF26" s="13"/>
      <c r="AG26" s="13"/>
      <c r="AH26" s="13"/>
      <c r="AI26" s="13"/>
    </row>
    <row r="27" spans="1:35" x14ac:dyDescent="0.3">
      <c r="A27" s="12"/>
      <c r="B27" s="12"/>
      <c r="C27" s="12"/>
      <c r="D27" s="12"/>
      <c r="E27" s="12"/>
      <c r="F27" s="12"/>
      <c r="G27" s="12"/>
      <c r="H27" s="12"/>
      <c r="I27" s="12"/>
      <c r="J27" s="12"/>
      <c r="K27" s="12"/>
      <c r="L27" s="12"/>
      <c r="M27" s="12"/>
      <c r="N27" s="12"/>
      <c r="O27" s="12"/>
      <c r="P27" s="12"/>
      <c r="Q27" s="12"/>
      <c r="R27" s="12"/>
      <c r="S27" s="12"/>
      <c r="T27" s="12"/>
      <c r="U27" s="12"/>
      <c r="V27" s="13"/>
      <c r="W27" s="13"/>
      <c r="X27" s="13"/>
      <c r="Y27" s="13"/>
      <c r="Z27" s="13"/>
      <c r="AA27" s="13"/>
      <c r="AB27" s="13"/>
      <c r="AC27" s="13"/>
      <c r="AD27" s="13"/>
      <c r="AE27" s="13"/>
      <c r="AF27" s="13"/>
      <c r="AG27" s="13"/>
      <c r="AH27" s="13"/>
      <c r="AI27" s="13"/>
    </row>
    <row r="28" spans="1:35" x14ac:dyDescent="0.3">
      <c r="A28" s="12"/>
      <c r="B28" s="12"/>
      <c r="C28" s="12"/>
      <c r="D28" s="12"/>
      <c r="E28" s="12"/>
      <c r="F28" s="12"/>
      <c r="G28" s="12"/>
      <c r="H28" s="12"/>
      <c r="I28" s="12"/>
      <c r="J28" s="12"/>
      <c r="K28" s="12"/>
      <c r="L28" s="12"/>
      <c r="M28" s="12"/>
      <c r="N28" s="12"/>
      <c r="O28" s="12"/>
      <c r="P28" s="12"/>
      <c r="Q28" s="12"/>
      <c r="R28" s="12"/>
      <c r="S28" s="12"/>
      <c r="T28" s="12"/>
      <c r="U28" s="12"/>
      <c r="V28" s="13"/>
      <c r="W28" s="13"/>
      <c r="X28" s="13"/>
      <c r="Y28" s="13"/>
      <c r="Z28" s="13"/>
      <c r="AA28" s="13"/>
      <c r="AB28" s="13"/>
      <c r="AC28" s="13"/>
      <c r="AD28" s="13"/>
      <c r="AE28" s="13"/>
      <c r="AF28" s="13"/>
      <c r="AG28" s="13"/>
      <c r="AH28" s="13"/>
      <c r="AI28" s="13"/>
    </row>
    <row r="29" spans="1:35" x14ac:dyDescent="0.3">
      <c r="A29" s="12"/>
      <c r="B29" s="12"/>
      <c r="C29" s="12"/>
      <c r="D29" s="12"/>
      <c r="E29" s="12"/>
      <c r="F29" s="12"/>
      <c r="G29" s="12"/>
      <c r="H29" s="12"/>
      <c r="I29" s="12"/>
      <c r="J29" s="12"/>
      <c r="K29" s="12"/>
      <c r="L29" s="12"/>
      <c r="M29" s="12"/>
      <c r="N29" s="12"/>
      <c r="O29" s="12"/>
      <c r="P29" s="12"/>
      <c r="Q29" s="12"/>
      <c r="R29" s="12"/>
      <c r="S29" s="12"/>
      <c r="T29" s="12"/>
      <c r="U29" s="12"/>
      <c r="V29" s="13"/>
      <c r="W29" s="13"/>
      <c r="X29" s="13"/>
      <c r="Y29" s="13"/>
      <c r="Z29" s="13"/>
      <c r="AA29" s="13"/>
      <c r="AB29" s="13"/>
      <c r="AC29" s="13"/>
      <c r="AD29" s="13"/>
      <c r="AE29" s="13"/>
      <c r="AF29" s="13"/>
      <c r="AG29" s="13"/>
      <c r="AH29" s="13"/>
      <c r="AI29" s="13"/>
    </row>
    <row r="30" spans="1:35" x14ac:dyDescent="0.3">
      <c r="A30" s="12"/>
      <c r="B30" s="12"/>
      <c r="C30" s="12"/>
      <c r="D30" s="12"/>
      <c r="E30" s="12"/>
      <c r="F30" s="12"/>
      <c r="G30" s="12"/>
      <c r="H30" s="12"/>
      <c r="I30" s="12"/>
      <c r="J30" s="12"/>
      <c r="K30" s="12"/>
      <c r="L30" s="12"/>
      <c r="M30" s="12"/>
      <c r="N30" s="12"/>
      <c r="O30" s="12"/>
      <c r="P30" s="12"/>
      <c r="Q30" s="12"/>
      <c r="R30" s="12"/>
      <c r="S30" s="12"/>
      <c r="T30" s="12"/>
      <c r="U30" s="12"/>
      <c r="V30" s="13"/>
      <c r="W30" s="13"/>
      <c r="X30" s="13"/>
      <c r="Y30" s="13"/>
      <c r="Z30" s="13"/>
      <c r="AA30" s="13"/>
      <c r="AB30" s="13"/>
      <c r="AC30" s="13"/>
      <c r="AD30" s="13"/>
      <c r="AE30" s="13"/>
      <c r="AF30" s="13"/>
      <c r="AG30" s="13"/>
      <c r="AH30" s="13"/>
      <c r="AI30" s="13"/>
    </row>
    <row r="31" spans="1:35" x14ac:dyDescent="0.3">
      <c r="A31" s="12"/>
      <c r="B31" s="12"/>
      <c r="C31" s="12"/>
      <c r="D31" s="12"/>
      <c r="E31" s="12"/>
      <c r="F31" s="12"/>
      <c r="G31" s="12"/>
      <c r="H31" s="12"/>
      <c r="I31" s="12"/>
      <c r="J31" s="12"/>
      <c r="K31" s="12"/>
      <c r="L31" s="12"/>
      <c r="M31" s="12"/>
      <c r="N31" s="12"/>
      <c r="O31" s="12"/>
      <c r="P31" s="12"/>
      <c r="Q31" s="12"/>
      <c r="R31" s="12"/>
      <c r="S31" s="12"/>
      <c r="T31" s="12"/>
      <c r="U31" s="12"/>
      <c r="V31" s="13"/>
      <c r="W31" s="13"/>
      <c r="X31" s="13"/>
      <c r="Y31" s="13"/>
      <c r="Z31" s="13"/>
      <c r="AA31" s="13"/>
      <c r="AB31" s="13"/>
      <c r="AC31" s="13"/>
      <c r="AD31" s="13"/>
      <c r="AE31" s="13"/>
      <c r="AF31" s="13"/>
      <c r="AG31" s="13"/>
      <c r="AH31" s="13"/>
      <c r="AI31" s="13"/>
    </row>
    <row r="32" spans="1:35" x14ac:dyDescent="0.3">
      <c r="A32" s="12"/>
      <c r="B32" s="12"/>
      <c r="C32" s="12"/>
      <c r="D32" s="12"/>
      <c r="E32" s="12"/>
      <c r="F32" s="12"/>
      <c r="G32" s="12"/>
      <c r="H32" s="12"/>
      <c r="I32" s="12"/>
      <c r="J32" s="12"/>
      <c r="K32" s="12"/>
      <c r="L32" s="12"/>
      <c r="M32" s="12"/>
      <c r="N32" s="12"/>
      <c r="O32" s="12"/>
      <c r="P32" s="12"/>
      <c r="Q32" s="12"/>
      <c r="R32" s="12"/>
      <c r="S32" s="12"/>
      <c r="T32" s="12"/>
      <c r="U32" s="12"/>
      <c r="V32" s="13"/>
      <c r="W32" s="13"/>
      <c r="X32" s="13"/>
      <c r="Y32" s="13"/>
      <c r="Z32" s="13"/>
      <c r="AA32" s="13"/>
      <c r="AB32" s="13"/>
      <c r="AC32" s="13"/>
      <c r="AD32" s="13"/>
      <c r="AE32" s="13"/>
      <c r="AF32" s="13"/>
      <c r="AG32" s="13"/>
      <c r="AH32" s="13"/>
      <c r="AI32" s="13"/>
    </row>
    <row r="33" spans="1:35" x14ac:dyDescent="0.3">
      <c r="A33" s="12"/>
      <c r="B33" s="12"/>
      <c r="C33" s="12"/>
      <c r="D33" s="12"/>
      <c r="E33" s="12"/>
      <c r="F33" s="12"/>
      <c r="G33" s="12"/>
      <c r="H33" s="12"/>
      <c r="I33" s="12"/>
      <c r="J33" s="12"/>
      <c r="K33" s="12"/>
      <c r="L33" s="12"/>
      <c r="M33" s="12"/>
      <c r="N33" s="12"/>
      <c r="O33" s="12"/>
      <c r="P33" s="12"/>
      <c r="Q33" s="12"/>
      <c r="R33" s="12"/>
      <c r="S33" s="12"/>
      <c r="T33" s="12"/>
      <c r="U33" s="12"/>
      <c r="V33" s="13"/>
      <c r="W33" s="13"/>
      <c r="X33" s="13"/>
      <c r="Y33" s="13"/>
      <c r="Z33" s="13"/>
      <c r="AA33" s="13"/>
      <c r="AB33" s="13"/>
      <c r="AC33" s="13"/>
      <c r="AD33" s="13"/>
      <c r="AE33" s="13"/>
      <c r="AF33" s="13"/>
      <c r="AG33" s="13"/>
      <c r="AH33" s="13"/>
      <c r="AI33" s="13"/>
    </row>
    <row r="34" spans="1:35" x14ac:dyDescent="0.3">
      <c r="A34" s="12"/>
      <c r="B34" s="12"/>
      <c r="C34" s="12"/>
      <c r="D34" s="12"/>
      <c r="E34" s="12"/>
      <c r="F34" s="12"/>
      <c r="G34" s="12"/>
      <c r="H34" s="12"/>
      <c r="I34" s="12"/>
      <c r="J34" s="12"/>
      <c r="K34" s="12"/>
      <c r="L34" s="12"/>
      <c r="M34" s="12"/>
      <c r="N34" s="12"/>
      <c r="O34" s="12"/>
      <c r="P34" s="12"/>
      <c r="Q34" s="12"/>
      <c r="R34" s="12"/>
      <c r="S34" s="12"/>
      <c r="T34" s="12"/>
      <c r="U34" s="12"/>
      <c r="V34" s="13"/>
      <c r="W34" s="13"/>
      <c r="X34" s="13"/>
      <c r="Y34" s="13"/>
      <c r="Z34" s="13"/>
      <c r="AA34" s="13"/>
      <c r="AB34" s="13"/>
      <c r="AC34" s="13"/>
      <c r="AD34" s="13"/>
      <c r="AE34" s="13"/>
      <c r="AF34" s="13"/>
      <c r="AG34" s="13"/>
      <c r="AH34" s="13"/>
      <c r="AI34" s="13"/>
    </row>
    <row r="35" spans="1:35" x14ac:dyDescent="0.3">
      <c r="A35" s="12"/>
      <c r="B35" s="12"/>
      <c r="C35" s="12"/>
      <c r="D35" s="12"/>
      <c r="E35" s="12"/>
      <c r="F35" s="12"/>
      <c r="G35" s="12"/>
      <c r="H35" s="12"/>
      <c r="I35" s="12"/>
      <c r="J35" s="12"/>
      <c r="K35" s="12"/>
      <c r="L35" s="12"/>
      <c r="M35" s="12"/>
      <c r="N35" s="12"/>
      <c r="O35" s="12"/>
      <c r="P35" s="12"/>
      <c r="Q35" s="12"/>
      <c r="R35" s="12"/>
      <c r="S35" s="12"/>
      <c r="T35" s="12"/>
      <c r="U35" s="12"/>
      <c r="V35" s="13"/>
      <c r="W35" s="13"/>
      <c r="X35" s="13"/>
      <c r="Y35" s="13"/>
      <c r="Z35" s="13"/>
      <c r="AA35" s="13"/>
      <c r="AB35" s="13"/>
      <c r="AC35" s="13"/>
      <c r="AD35" s="13"/>
      <c r="AE35" s="13"/>
      <c r="AF35" s="13"/>
      <c r="AG35" s="13"/>
      <c r="AH35" s="13"/>
      <c r="AI35" s="13"/>
    </row>
    <row r="36" spans="1:35" x14ac:dyDescent="0.3">
      <c r="A36" s="12"/>
      <c r="B36" s="12"/>
      <c r="C36" s="12"/>
      <c r="D36" s="12"/>
      <c r="E36" s="12"/>
      <c r="F36" s="12"/>
      <c r="G36" s="12"/>
      <c r="H36" s="12"/>
      <c r="I36" s="12"/>
      <c r="J36" s="12"/>
      <c r="K36" s="12"/>
      <c r="L36" s="12"/>
      <c r="M36" s="12"/>
      <c r="N36" s="12"/>
      <c r="O36" s="12"/>
      <c r="P36" s="12"/>
      <c r="Q36" s="12"/>
      <c r="R36" s="12"/>
      <c r="S36" s="12"/>
      <c r="T36" s="12"/>
      <c r="U36" s="12"/>
    </row>
    <row r="37" spans="1:35" x14ac:dyDescent="0.3">
      <c r="A37" s="12"/>
      <c r="B37" s="12"/>
      <c r="C37" s="12"/>
      <c r="D37" s="12"/>
      <c r="E37" s="12"/>
      <c r="F37" s="12"/>
      <c r="G37" s="12"/>
      <c r="H37" s="12"/>
      <c r="I37" s="12"/>
      <c r="J37" s="12"/>
      <c r="K37" s="12"/>
      <c r="L37" s="12"/>
      <c r="M37" s="12"/>
      <c r="N37" s="12"/>
      <c r="O37" s="12"/>
      <c r="P37" s="12"/>
      <c r="Q37" s="12"/>
      <c r="R37" s="12"/>
      <c r="S37" s="12"/>
      <c r="T37" s="12"/>
      <c r="U37" s="12"/>
    </row>
    <row r="38" spans="1:35" x14ac:dyDescent="0.3">
      <c r="A38" s="12"/>
      <c r="B38" s="12"/>
      <c r="C38" s="12"/>
      <c r="D38" s="12"/>
      <c r="E38" s="12"/>
      <c r="F38" s="12"/>
      <c r="G38" s="12"/>
      <c r="H38" s="12"/>
      <c r="I38" s="12"/>
      <c r="J38" s="12"/>
      <c r="K38" s="12"/>
      <c r="L38" s="12"/>
      <c r="M38" s="12"/>
      <c r="N38" s="12"/>
      <c r="O38" s="12"/>
      <c r="P38" s="12"/>
      <c r="Q38" s="12"/>
      <c r="R38" s="12"/>
      <c r="S38" s="12"/>
      <c r="T38" s="12"/>
      <c r="U38" s="12"/>
    </row>
    <row r="39" spans="1:35" x14ac:dyDescent="0.3">
      <c r="A39" s="12"/>
      <c r="B39" s="12"/>
      <c r="C39" s="12"/>
      <c r="D39" s="12"/>
      <c r="E39" s="12"/>
      <c r="F39" s="12"/>
      <c r="G39" s="12"/>
      <c r="H39" s="12"/>
      <c r="I39" s="12"/>
      <c r="J39" s="12"/>
      <c r="K39" s="12"/>
      <c r="L39" s="12"/>
      <c r="M39" s="12"/>
      <c r="N39" s="12"/>
      <c r="O39" s="12"/>
      <c r="P39" s="12"/>
      <c r="Q39" s="12"/>
      <c r="R39" s="12"/>
      <c r="S39" s="12"/>
      <c r="T39" s="12"/>
      <c r="U39" s="12"/>
    </row>
    <row r="40" spans="1:35" x14ac:dyDescent="0.3">
      <c r="A40" s="12"/>
      <c r="B40" s="12"/>
      <c r="C40" s="12"/>
      <c r="D40" s="12"/>
      <c r="E40" s="12"/>
      <c r="F40" s="12"/>
      <c r="G40" s="12"/>
      <c r="H40" s="12"/>
      <c r="I40" s="12"/>
      <c r="J40" s="12"/>
      <c r="K40" s="12"/>
      <c r="L40" s="12"/>
      <c r="M40" s="12"/>
      <c r="N40" s="12"/>
      <c r="O40" s="12"/>
      <c r="P40" s="12"/>
      <c r="Q40" s="12"/>
      <c r="R40" s="12"/>
      <c r="S40" s="12"/>
      <c r="T40" s="12"/>
      <c r="U40" s="12"/>
    </row>
    <row r="41" spans="1:35" x14ac:dyDescent="0.3">
      <c r="A41" s="12"/>
      <c r="B41" s="12"/>
      <c r="C41" s="12"/>
      <c r="D41" s="12"/>
      <c r="E41" s="12"/>
      <c r="F41" s="12"/>
      <c r="G41" s="12"/>
      <c r="H41" s="12"/>
      <c r="I41" s="12"/>
      <c r="J41" s="12"/>
      <c r="K41" s="12"/>
      <c r="L41" s="12"/>
      <c r="M41" s="12"/>
      <c r="N41" s="12"/>
      <c r="O41" s="12"/>
      <c r="P41" s="12"/>
      <c r="Q41" s="12"/>
      <c r="R41" s="12"/>
      <c r="S41" s="12"/>
      <c r="T41" s="12"/>
      <c r="U41" s="12"/>
    </row>
    <row r="42" spans="1:35" x14ac:dyDescent="0.3">
      <c r="A42" s="12"/>
      <c r="B42" s="12"/>
      <c r="C42" s="12"/>
      <c r="D42" s="12"/>
      <c r="E42" s="12"/>
      <c r="F42" s="12"/>
      <c r="G42" s="12"/>
      <c r="H42" s="12"/>
      <c r="I42" s="12"/>
      <c r="J42" s="12"/>
      <c r="K42" s="12"/>
      <c r="L42" s="12"/>
      <c r="M42" s="12"/>
      <c r="N42" s="12"/>
      <c r="O42" s="12"/>
      <c r="P42" s="12"/>
      <c r="Q42" s="12"/>
      <c r="R42" s="12"/>
      <c r="S42" s="12"/>
      <c r="T42" s="12"/>
      <c r="U42" s="12"/>
    </row>
    <row r="43" spans="1:35" x14ac:dyDescent="0.3">
      <c r="A43" s="12"/>
      <c r="B43" s="12"/>
      <c r="C43" s="12"/>
      <c r="D43" s="12"/>
      <c r="E43" s="12"/>
      <c r="F43" s="12"/>
      <c r="G43" s="12"/>
      <c r="H43" s="12"/>
      <c r="I43" s="12"/>
      <c r="J43" s="12"/>
      <c r="K43" s="12"/>
      <c r="L43" s="12"/>
      <c r="M43" s="12"/>
      <c r="N43" s="12"/>
      <c r="O43" s="12"/>
      <c r="P43" s="12"/>
      <c r="Q43" s="12"/>
      <c r="R43" s="12"/>
      <c r="S43" s="12"/>
      <c r="T43" s="12"/>
      <c r="U43" s="12"/>
    </row>
    <row r="44" spans="1:35" x14ac:dyDescent="0.3">
      <c r="A44" s="12"/>
      <c r="B44" s="12"/>
      <c r="C44" s="12"/>
      <c r="D44" s="12"/>
      <c r="E44" s="12"/>
      <c r="F44" s="12"/>
      <c r="G44" s="12"/>
      <c r="H44" s="12"/>
      <c r="I44" s="12"/>
      <c r="J44" s="12"/>
      <c r="K44" s="12"/>
      <c r="L44" s="12"/>
      <c r="M44" s="12"/>
      <c r="N44" s="12"/>
      <c r="O44" s="12"/>
      <c r="P44" s="12"/>
      <c r="Q44" s="12"/>
      <c r="R44" s="12"/>
      <c r="S44" s="12"/>
      <c r="T44" s="12"/>
      <c r="U44" s="12"/>
    </row>
    <row r="45" spans="1:35" x14ac:dyDescent="0.3">
      <c r="A45" s="12"/>
      <c r="B45" s="12"/>
      <c r="C45" s="12"/>
      <c r="D45" s="12"/>
      <c r="E45" s="12"/>
      <c r="F45" s="12"/>
      <c r="G45" s="12"/>
      <c r="H45" s="12"/>
      <c r="I45" s="12"/>
      <c r="J45" s="12"/>
      <c r="K45" s="12"/>
      <c r="L45" s="12"/>
      <c r="M45" s="12"/>
      <c r="N45" s="12"/>
      <c r="O45" s="12"/>
      <c r="P45" s="12"/>
      <c r="Q45" s="12"/>
      <c r="R45" s="12"/>
      <c r="S45" s="12"/>
      <c r="T45" s="12"/>
      <c r="U45" s="12"/>
    </row>
    <row r="46" spans="1:35" x14ac:dyDescent="0.3">
      <c r="A46" s="12"/>
      <c r="B46" s="12"/>
      <c r="C46" s="12"/>
      <c r="D46" s="12"/>
      <c r="E46" s="12"/>
      <c r="F46" s="12"/>
      <c r="G46" s="12"/>
      <c r="H46" s="12"/>
      <c r="I46" s="12"/>
      <c r="J46" s="12"/>
      <c r="K46" s="12"/>
      <c r="L46" s="12"/>
      <c r="M46" s="12"/>
      <c r="N46" s="12"/>
      <c r="O46" s="12"/>
      <c r="P46" s="12"/>
      <c r="Q46" s="12"/>
      <c r="R46" s="12"/>
      <c r="S46" s="12"/>
      <c r="T46" s="12"/>
      <c r="U46" s="12"/>
    </row>
    <row r="47" spans="1:35" x14ac:dyDescent="0.3">
      <c r="A47" s="12"/>
      <c r="B47" s="12"/>
      <c r="C47" s="12"/>
      <c r="D47" s="12"/>
      <c r="E47" s="12"/>
      <c r="F47" s="12"/>
      <c r="G47" s="12"/>
      <c r="H47" s="12"/>
      <c r="I47" s="12"/>
      <c r="J47" s="12"/>
      <c r="K47" s="12"/>
      <c r="L47" s="12"/>
      <c r="M47" s="12"/>
      <c r="N47" s="12"/>
      <c r="O47" s="12"/>
      <c r="P47" s="12"/>
      <c r="Q47" s="12"/>
      <c r="R47" s="12"/>
      <c r="S47" s="12"/>
      <c r="T47" s="12"/>
      <c r="U47" s="12"/>
    </row>
    <row r="48" spans="1:35" x14ac:dyDescent="0.3">
      <c r="A48" s="12"/>
      <c r="B48" s="12"/>
      <c r="C48" s="12"/>
      <c r="D48" s="12"/>
      <c r="E48" s="12"/>
      <c r="F48" s="12"/>
      <c r="G48" s="12"/>
      <c r="H48" s="12"/>
      <c r="I48" s="12"/>
      <c r="J48" s="12"/>
      <c r="K48" s="12"/>
      <c r="L48" s="12"/>
      <c r="M48" s="12"/>
      <c r="N48" s="12"/>
      <c r="O48" s="12"/>
      <c r="P48" s="12"/>
      <c r="Q48" s="12"/>
      <c r="R48" s="12"/>
      <c r="S48" s="12"/>
      <c r="T48" s="12"/>
      <c r="U48" s="12"/>
    </row>
    <row r="49" spans="1:21" x14ac:dyDescent="0.3">
      <c r="A49" s="12"/>
      <c r="B49" s="12"/>
      <c r="C49" s="12"/>
      <c r="D49" s="12"/>
      <c r="E49" s="12"/>
      <c r="F49" s="12"/>
      <c r="G49" s="12"/>
      <c r="H49" s="12"/>
      <c r="I49" s="12"/>
      <c r="J49" s="12"/>
      <c r="K49" s="12"/>
      <c r="L49" s="12"/>
      <c r="M49" s="12"/>
      <c r="N49" s="12"/>
      <c r="O49" s="12"/>
      <c r="P49" s="12"/>
      <c r="Q49" s="12"/>
      <c r="R49" s="12"/>
      <c r="S49" s="12"/>
      <c r="T49" s="12"/>
      <c r="U49" s="12"/>
    </row>
    <row r="50" spans="1:21" x14ac:dyDescent="0.3">
      <c r="A50" s="12"/>
      <c r="B50" s="12"/>
      <c r="C50" s="12"/>
      <c r="D50" s="12"/>
      <c r="E50" s="12"/>
      <c r="F50" s="12"/>
      <c r="G50" s="12"/>
      <c r="H50" s="12"/>
      <c r="I50" s="12"/>
      <c r="J50" s="12"/>
      <c r="K50" s="12"/>
      <c r="L50" s="12"/>
      <c r="M50" s="12"/>
      <c r="N50" s="12"/>
      <c r="O50" s="12"/>
      <c r="P50" s="12"/>
      <c r="Q50" s="12"/>
      <c r="R50" s="12"/>
      <c r="S50" s="12"/>
      <c r="T50" s="12"/>
      <c r="U50" s="12"/>
    </row>
    <row r="51" spans="1:21" x14ac:dyDescent="0.3">
      <c r="A51" s="12"/>
      <c r="B51" s="12"/>
      <c r="C51" s="12"/>
      <c r="D51" s="12"/>
      <c r="E51" s="12"/>
      <c r="F51" s="12"/>
      <c r="G51" s="12"/>
      <c r="H51" s="12"/>
      <c r="I51" s="12"/>
      <c r="J51" s="12"/>
      <c r="K51" s="12"/>
      <c r="L51" s="12"/>
      <c r="M51" s="12"/>
      <c r="N51" s="12"/>
      <c r="O51" s="12"/>
      <c r="P51" s="12"/>
      <c r="Q51" s="12"/>
      <c r="R51" s="12"/>
      <c r="S51" s="12"/>
      <c r="T51" s="12"/>
      <c r="U51" s="12"/>
    </row>
    <row r="52" spans="1:21" x14ac:dyDescent="0.3">
      <c r="A52" s="12"/>
      <c r="B52" s="12"/>
      <c r="C52" s="12"/>
      <c r="D52" s="12"/>
      <c r="E52" s="12"/>
      <c r="F52" s="12"/>
      <c r="G52" s="12"/>
      <c r="H52" s="12"/>
      <c r="I52" s="12"/>
      <c r="J52" s="12"/>
      <c r="K52" s="12"/>
      <c r="L52" s="12"/>
      <c r="M52" s="12"/>
      <c r="N52" s="12"/>
      <c r="O52" s="12"/>
      <c r="P52" s="12"/>
      <c r="Q52" s="12"/>
      <c r="R52" s="12"/>
      <c r="S52" s="12"/>
      <c r="T52" s="12"/>
      <c r="U52" s="12"/>
    </row>
    <row r="53" spans="1:21" x14ac:dyDescent="0.3">
      <c r="A53" s="12"/>
      <c r="B53" s="12"/>
      <c r="C53" s="12"/>
      <c r="D53" s="12"/>
      <c r="E53" s="12"/>
      <c r="F53" s="12"/>
      <c r="G53" s="12"/>
      <c r="H53" s="12"/>
      <c r="I53" s="12"/>
      <c r="J53" s="12"/>
      <c r="K53" s="12"/>
      <c r="L53" s="12"/>
      <c r="M53" s="12"/>
      <c r="N53" s="12"/>
      <c r="O53" s="12"/>
      <c r="P53" s="12"/>
      <c r="Q53" s="12"/>
      <c r="R53" s="12"/>
      <c r="S53" s="12"/>
      <c r="T53" s="12"/>
      <c r="U53" s="12"/>
    </row>
    <row r="54" spans="1:21" x14ac:dyDescent="0.3">
      <c r="A54" s="12"/>
      <c r="B54" s="12"/>
      <c r="C54" s="12"/>
      <c r="D54" s="12"/>
      <c r="E54" s="12"/>
      <c r="F54" s="12"/>
      <c r="G54" s="12"/>
      <c r="H54" s="12"/>
      <c r="I54" s="12"/>
      <c r="J54" s="12"/>
      <c r="K54" s="12"/>
      <c r="L54" s="12"/>
      <c r="M54" s="12"/>
      <c r="N54" s="12"/>
      <c r="O54" s="12"/>
      <c r="P54" s="12"/>
      <c r="Q54" s="12"/>
      <c r="R54" s="12"/>
      <c r="S54" s="12"/>
      <c r="T54" s="12"/>
      <c r="U54" s="12"/>
    </row>
    <row r="55" spans="1:21" x14ac:dyDescent="0.3">
      <c r="A55" s="12"/>
      <c r="B55" s="12"/>
      <c r="C55" s="12"/>
      <c r="D55" s="12"/>
      <c r="E55" s="12"/>
      <c r="F55" s="12"/>
      <c r="G55" s="12"/>
      <c r="H55" s="12"/>
      <c r="I55" s="12"/>
      <c r="J55" s="12"/>
      <c r="K55" s="12"/>
      <c r="L55" s="12"/>
      <c r="M55" s="12"/>
      <c r="N55" s="12"/>
      <c r="O55" s="12"/>
      <c r="P55" s="12"/>
      <c r="Q55" s="12"/>
      <c r="R55" s="12"/>
      <c r="S55" s="12"/>
      <c r="T55" s="12"/>
      <c r="U55" s="12"/>
    </row>
    <row r="56" spans="1:21" x14ac:dyDescent="0.3">
      <c r="A56" s="12"/>
      <c r="B56" s="12"/>
      <c r="C56" s="12"/>
      <c r="D56" s="12"/>
      <c r="E56" s="12"/>
      <c r="F56" s="12"/>
      <c r="G56" s="12"/>
      <c r="H56" s="12"/>
      <c r="I56" s="12"/>
      <c r="J56" s="12"/>
      <c r="K56" s="12"/>
      <c r="L56" s="12"/>
      <c r="M56" s="12"/>
      <c r="N56" s="12"/>
      <c r="O56" s="12"/>
      <c r="P56" s="12"/>
      <c r="Q56" s="12"/>
      <c r="R56" s="12"/>
      <c r="S56" s="12"/>
      <c r="T56" s="12"/>
      <c r="U56" s="12"/>
    </row>
    <row r="57" spans="1:21" x14ac:dyDescent="0.3">
      <c r="A57" s="12"/>
      <c r="B57" s="12"/>
      <c r="C57" s="12"/>
      <c r="D57" s="12"/>
      <c r="E57" s="12"/>
      <c r="F57" s="12"/>
      <c r="G57" s="12"/>
      <c r="H57" s="12"/>
      <c r="I57" s="12"/>
      <c r="J57" s="12"/>
      <c r="K57" s="12"/>
      <c r="L57" s="12"/>
      <c r="M57" s="12"/>
      <c r="N57" s="12"/>
      <c r="O57" s="12"/>
      <c r="P57" s="12"/>
      <c r="Q57" s="12"/>
      <c r="R57" s="12"/>
      <c r="S57" s="12"/>
      <c r="T57" s="12"/>
      <c r="U57" s="12"/>
    </row>
    <row r="58" spans="1:21" x14ac:dyDescent="0.3">
      <c r="A58" s="12"/>
      <c r="B58" s="12"/>
      <c r="C58" s="12"/>
      <c r="D58" s="12"/>
      <c r="E58" s="12"/>
      <c r="F58" s="12"/>
      <c r="G58" s="12"/>
      <c r="H58" s="12"/>
      <c r="I58" s="12"/>
      <c r="J58" s="12"/>
      <c r="K58" s="12"/>
      <c r="L58" s="12"/>
      <c r="M58" s="12"/>
      <c r="N58" s="12"/>
      <c r="O58" s="12"/>
      <c r="P58" s="12"/>
      <c r="Q58" s="12"/>
      <c r="R58" s="12"/>
      <c r="S58" s="12"/>
      <c r="T58" s="12"/>
      <c r="U58" s="12"/>
    </row>
  </sheetData>
  <mergeCells count="4">
    <mergeCell ref="A3:U58"/>
    <mergeCell ref="V3:AI35"/>
    <mergeCell ref="A1:M1"/>
    <mergeCell ref="N1:Z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2B2BC-39F7-4EBE-860D-C7E7013B0892}">
  <dimension ref="A1:A57"/>
  <sheetViews>
    <sheetView tabSelected="1" workbookViewId="0">
      <selection activeCell="C4" sqref="C4"/>
    </sheetView>
  </sheetViews>
  <sheetFormatPr defaultRowHeight="14.4" x14ac:dyDescent="0.3"/>
  <cols>
    <col min="1" max="1" width="143.77734375" customWidth="1"/>
  </cols>
  <sheetData>
    <row r="1" spans="1:1" ht="18" x14ac:dyDescent="0.3">
      <c r="A1" s="17" t="s">
        <v>619</v>
      </c>
    </row>
    <row r="3" spans="1:1" x14ac:dyDescent="0.3">
      <c r="A3" s="7" t="s">
        <v>620</v>
      </c>
    </row>
    <row r="4" spans="1:1" x14ac:dyDescent="0.3">
      <c r="A4" t="s">
        <v>616</v>
      </c>
    </row>
    <row r="6" spans="1:1" x14ac:dyDescent="0.3">
      <c r="A6" s="7" t="s">
        <v>621</v>
      </c>
    </row>
    <row r="7" spans="1:1" x14ac:dyDescent="0.3">
      <c r="A7" t="s">
        <v>617</v>
      </c>
    </row>
    <row r="11" spans="1:1" ht="18" x14ac:dyDescent="0.3">
      <c r="A11" s="17" t="s">
        <v>622</v>
      </c>
    </row>
    <row r="13" spans="1:1" x14ac:dyDescent="0.3">
      <c r="A13" s="7" t="s">
        <v>620</v>
      </c>
    </row>
    <row r="14" spans="1:1" x14ac:dyDescent="0.3">
      <c r="A14" t="s">
        <v>618</v>
      </c>
    </row>
    <row r="16" spans="1:1" x14ac:dyDescent="0.3">
      <c r="A16" s="7" t="s">
        <v>621</v>
      </c>
    </row>
    <row r="17" spans="1:1" x14ac:dyDescent="0.3">
      <c r="A17" t="s">
        <v>623</v>
      </c>
    </row>
    <row r="21" spans="1:1" ht="18" x14ac:dyDescent="0.3">
      <c r="A21" s="17" t="s">
        <v>624</v>
      </c>
    </row>
    <row r="23" spans="1:1" x14ac:dyDescent="0.3">
      <c r="A23" s="7" t="s">
        <v>620</v>
      </c>
    </row>
    <row r="24" spans="1:1" x14ac:dyDescent="0.3">
      <c r="A24" t="s">
        <v>625</v>
      </c>
    </row>
    <row r="26" spans="1:1" x14ac:dyDescent="0.3">
      <c r="A26" s="7" t="s">
        <v>621</v>
      </c>
    </row>
    <row r="27" spans="1:1" x14ac:dyDescent="0.3">
      <c r="A27" t="s">
        <v>626</v>
      </c>
    </row>
    <row r="31" spans="1:1" ht="18" x14ac:dyDescent="0.3">
      <c r="A31" s="17" t="s">
        <v>627</v>
      </c>
    </row>
    <row r="33" spans="1:1" x14ac:dyDescent="0.3">
      <c r="A33" s="7" t="s">
        <v>620</v>
      </c>
    </row>
    <row r="34" spans="1:1" x14ac:dyDescent="0.3">
      <c r="A34" t="s">
        <v>628</v>
      </c>
    </row>
    <row r="36" spans="1:1" x14ac:dyDescent="0.3">
      <c r="A36" s="7" t="s">
        <v>621</v>
      </c>
    </row>
    <row r="37" spans="1:1" x14ac:dyDescent="0.3">
      <c r="A37" t="s">
        <v>629</v>
      </c>
    </row>
    <row r="41" spans="1:1" ht="18" x14ac:dyDescent="0.3">
      <c r="A41" s="17" t="s">
        <v>630</v>
      </c>
    </row>
    <row r="43" spans="1:1" x14ac:dyDescent="0.3">
      <c r="A43" s="7" t="s">
        <v>620</v>
      </c>
    </row>
    <row r="44" spans="1:1" x14ac:dyDescent="0.3">
      <c r="A44" t="s">
        <v>631</v>
      </c>
    </row>
    <row r="46" spans="1:1" x14ac:dyDescent="0.3">
      <c r="A46" s="7" t="s">
        <v>621</v>
      </c>
    </row>
    <row r="47" spans="1:1" x14ac:dyDescent="0.3">
      <c r="A47" t="s">
        <v>632</v>
      </c>
    </row>
    <row r="51" spans="1:1" ht="18" x14ac:dyDescent="0.3">
      <c r="A51" s="17" t="s">
        <v>633</v>
      </c>
    </row>
    <row r="53" spans="1:1" x14ac:dyDescent="0.3">
      <c r="A53" s="7" t="s">
        <v>620</v>
      </c>
    </row>
    <row r="54" spans="1:1" x14ac:dyDescent="0.3">
      <c r="A54" t="s">
        <v>634</v>
      </c>
    </row>
    <row r="56" spans="1:1" x14ac:dyDescent="0.3">
      <c r="A56" s="7" t="s">
        <v>621</v>
      </c>
    </row>
    <row r="57" spans="1:1" x14ac:dyDescent="0.3">
      <c r="A57"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vt:lpstr>
      <vt:lpstr>Revenue By region</vt:lpstr>
      <vt:lpstr>Detail1</vt:lpstr>
      <vt:lpstr>Profit By Product</vt:lpstr>
      <vt:lpstr>Order Count by region</vt:lpstr>
      <vt:lpstr>Product Sales</vt:lpstr>
      <vt:lpstr>Loss Making Products</vt:lpstr>
      <vt:lpstr>DASHBOARD</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DIYA PRITHIANI</cp:lastModifiedBy>
  <dcterms:created xsi:type="dcterms:W3CDTF">2026-01-11T10:00:17Z</dcterms:created>
  <dcterms:modified xsi:type="dcterms:W3CDTF">2026-01-12T07:01:52Z</dcterms:modified>
</cp:coreProperties>
</file>